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to\Downloads\"/>
    </mc:Choice>
  </mc:AlternateContent>
  <xr:revisionPtr revIDLastSave="0" documentId="13_ncr:1_{CCB322B0-D41A-4F00-97B0-3D8EF1D2FD8E}" xr6:coauthVersionLast="47" xr6:coauthVersionMax="47" xr10:uidLastSave="{00000000-0000-0000-0000-000000000000}"/>
  <bookViews>
    <workbookView xWindow="-120" yWindow="-120" windowWidth="38640" windowHeight="21840" activeTab="5" xr2:uid="{B7F87A59-495E-45F2-A6B5-6E41D0E42535}"/>
  </bookViews>
  <sheets>
    <sheet name="1 Manuales - MGD - Est" sheetId="7" r:id="rId1"/>
    <sheet name="2 Procesos" sheetId="8" r:id="rId2"/>
    <sheet name="3 Procedimientos - Nor" sheetId="9" r:id="rId3"/>
    <sheet name="4 Instructivos -Op" sheetId="12" r:id="rId4"/>
    <sheet name="5 FOR y MZ - Ctrl" sheetId="13" r:id="rId5"/>
    <sheet name="6  Politicas" sheetId="14" r:id="rId6"/>
  </sheets>
  <definedNames>
    <definedName name="_REG1">#REF!</definedName>
    <definedName name="a">#REF!</definedName>
    <definedName name="ACCION">#REF!</definedName>
    <definedName name="AREA">#REF!</definedName>
    <definedName name="AREAS">#REF!</definedName>
    <definedName name="Beneficio">#REF!</definedName>
    <definedName name="conceptos">#REF!</definedName>
    <definedName name="CONFORME">#REF!</definedName>
    <definedName name="Datos">#REF!</definedName>
    <definedName name="DEPARTAMENTO">#REF!</definedName>
    <definedName name="DIAS">#REF!</definedName>
    <definedName name="DIAS_12">#REF!</definedName>
    <definedName name="DIAS_DE_INCAPACIDAD">#REF!</definedName>
    <definedName name="E_P_">#REF!</definedName>
    <definedName name="ESTADO">#REF!</definedName>
    <definedName name="Excel_BuiltIn__FilterDatabase_7_1">#REF!</definedName>
    <definedName name="Excel_BuiltIn_Criteria_7">#REF!</definedName>
    <definedName name="Excel_BuiltIn_Print_Titles_7_1">#REF!</definedName>
    <definedName name="FUENTENCO">#REF!</definedName>
    <definedName name="IMPLEMENTADO">#REF!</definedName>
    <definedName name="INTERPRETACION">#REF!</definedName>
    <definedName name="Lesión">#REF!</definedName>
    <definedName name="MatrizDatos">#REF!</definedName>
    <definedName name="MES">#REF!</definedName>
    <definedName name="MES_12">#REF!</definedName>
    <definedName name="No_">#REF!</definedName>
    <definedName name="NOMBRE">#REF!</definedName>
    <definedName name="OCUPACIONES">#REF!</definedName>
    <definedName name="OPERARIO">#REF!</definedName>
    <definedName name="PREVENGO">#REF!</definedName>
    <definedName name="Proteccion_visual">#REF!</definedName>
    <definedName name="SECTORIZADO">#REF!</definedName>
    <definedName name="semestre">#REF!</definedName>
    <definedName name="TA">#REF!</definedName>
    <definedName name="TablaConceptos">#REF!</definedName>
    <definedName name="TIPOACC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4" l="1"/>
  <c r="K3" i="14"/>
  <c r="J4" i="14"/>
  <c r="K4" i="14"/>
  <c r="J5" i="14"/>
  <c r="K5" i="14"/>
  <c r="J6" i="14"/>
  <c r="K6" i="14"/>
  <c r="I28" i="7"/>
  <c r="I26" i="7"/>
  <c r="I22" i="7"/>
  <c r="I10" i="7"/>
  <c r="I21" i="7"/>
  <c r="I18" i="7"/>
  <c r="I15" i="7"/>
  <c r="K7" i="8"/>
  <c r="J7" i="8"/>
  <c r="K6" i="8"/>
  <c r="J6" i="8"/>
  <c r="K5" i="8"/>
  <c r="J5" i="8"/>
  <c r="K4" i="8"/>
  <c r="J4" i="8"/>
  <c r="K3" i="8"/>
  <c r="J3" i="8"/>
  <c r="J4" i="7"/>
  <c r="K4" i="7"/>
  <c r="J5" i="7"/>
  <c r="K5" i="7"/>
  <c r="J6" i="7"/>
  <c r="K6" i="7"/>
  <c r="J7" i="7"/>
  <c r="K7" i="7"/>
  <c r="J8" i="7"/>
  <c r="K8" i="7"/>
  <c r="J9" i="7"/>
  <c r="K9" i="7"/>
  <c r="J10" i="7"/>
  <c r="K10" i="7"/>
  <c r="J11" i="7"/>
  <c r="K11" i="7"/>
  <c r="J12" i="7"/>
  <c r="K12" i="7"/>
  <c r="J13" i="7"/>
  <c r="K13" i="7"/>
  <c r="J14" i="7"/>
  <c r="K14" i="7"/>
  <c r="J16" i="7"/>
  <c r="K16" i="7"/>
  <c r="J17" i="7"/>
  <c r="K17" i="7"/>
  <c r="J18" i="7"/>
  <c r="K18" i="7"/>
  <c r="J20" i="7"/>
  <c r="K20" i="7"/>
  <c r="J22" i="7"/>
  <c r="K22" i="7"/>
  <c r="J23" i="7"/>
  <c r="K23" i="7"/>
  <c r="J24" i="7"/>
  <c r="K24" i="7"/>
  <c r="J25" i="7"/>
  <c r="K25" i="7"/>
  <c r="J27" i="7"/>
  <c r="K27" i="7"/>
  <c r="J28" i="7"/>
  <c r="K28" i="7"/>
  <c r="J29" i="7"/>
  <c r="K29" i="7"/>
  <c r="J30" i="7"/>
  <c r="K30" i="7"/>
  <c r="J33" i="7"/>
  <c r="K33" i="7"/>
  <c r="J34" i="7"/>
  <c r="K34" i="7"/>
  <c r="J35" i="7"/>
  <c r="K35" i="7"/>
  <c r="J36" i="7"/>
  <c r="K36" i="7"/>
  <c r="J37" i="7"/>
  <c r="K37" i="7"/>
  <c r="J38" i="7"/>
  <c r="K38" i="7"/>
  <c r="J39" i="7"/>
  <c r="K39" i="7"/>
  <c r="J41" i="7"/>
  <c r="K41" i="7"/>
  <c r="J42" i="7"/>
  <c r="K42" i="7"/>
  <c r="J43" i="7"/>
  <c r="K43" i="7"/>
  <c r="J44" i="7"/>
  <c r="K44" i="7"/>
  <c r="J45" i="7"/>
  <c r="K45" i="7"/>
  <c r="J47" i="7"/>
  <c r="K47" i="7"/>
  <c r="J48" i="7"/>
  <c r="K48" i="7"/>
  <c r="J49" i="7"/>
  <c r="K49" i="7"/>
  <c r="J50" i="7"/>
  <c r="K50" i="7"/>
  <c r="J51" i="7"/>
  <c r="K51" i="7"/>
  <c r="J52" i="7"/>
  <c r="K52" i="7"/>
  <c r="J53" i="7"/>
  <c r="K53" i="7"/>
  <c r="J54" i="7"/>
  <c r="K54" i="7"/>
  <c r="J55" i="7"/>
  <c r="K55" i="7"/>
  <c r="J56" i="7"/>
  <c r="K56" i="7"/>
  <c r="J57" i="7"/>
  <c r="K57" i="7"/>
  <c r="J58" i="7"/>
  <c r="K58" i="7"/>
  <c r="J59" i="7"/>
  <c r="K59" i="7"/>
  <c r="J60" i="7"/>
  <c r="K60" i="7"/>
  <c r="J61" i="7"/>
  <c r="K61" i="7"/>
  <c r="J62" i="7"/>
  <c r="K62" i="7"/>
  <c r="J63" i="7"/>
  <c r="K63" i="7"/>
  <c r="K3" i="7"/>
  <c r="J3" i="7"/>
  <c r="I31" i="7"/>
  <c r="I32" i="7"/>
  <c r="I40" i="7"/>
  <c r="I46" i="7"/>
  <c r="J46" i="7" l="1"/>
  <c r="K46" i="7"/>
  <c r="J40" i="7"/>
  <c r="K40" i="7"/>
  <c r="J32" i="7"/>
  <c r="K32" i="7"/>
  <c r="J31" i="7"/>
  <c r="K31" i="7"/>
  <c r="J26" i="7"/>
  <c r="K26" i="7"/>
  <c r="J21" i="7"/>
  <c r="K21" i="7"/>
  <c r="J15" i="7"/>
  <c r="K15" i="7"/>
  <c r="J19" i="7"/>
  <c r="K1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tc={ECF9958F-B00C-45D0-8CF5-3274E04F8B67}</author>
    <author>tc={EE1EAADB-8882-47C7-A1E9-446C6082AF01}</author>
    <author>tc={0415FA6B-6FCC-4F2A-BFDB-326C3FE9B2F2}</author>
    <author>tc={2CD6DE89-3FF8-48F7-8594-6282A3B26413}</author>
  </authors>
  <commentList>
    <comment ref="B2" authorId="0" shapeId="0" xr:uid="{ECF9958F-B00C-45D0-8CF5-3274E04F8B67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Codigo Dependencia</t>
        </r>
      </text>
    </comment>
    <comment ref="L2" authorId="1" shapeId="0" xr:uid="{EE1EAADB-8882-47C7-A1E9-446C6082AF01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Estados: 
Sin Documentar
No Requiere
En Estructuración
En borrador
Para revisión directiva
Para revisión de ........Iniciales
Aprobado </t>
        </r>
      </text>
    </comment>
    <comment ref="Q2" authorId="2" shapeId="0" xr:uid="{0415FA6B-6FCC-4F2A-BFDB-326C3FE9B2F2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debe revisar la ubicación actual vs la proyectada</t>
        </r>
      </text>
    </comment>
    <comment ref="E46" authorId="3" shapeId="0" xr:uid="{2CD6DE89-3FF8-48F7-8594-6282A3B26413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Revisar a que proceso pertenece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tc={6BF6A8A5-3CD2-4355-993B-7E00F3405FC5}</author>
    <author>tc={E759EE3E-2E54-45F7-A80F-89388494C218}</author>
    <author>tc={202FEF81-BD41-4F1A-B56E-E88E7E0437F0}</author>
  </authors>
  <commentList>
    <comment ref="B2" authorId="0" shapeId="0" xr:uid="{6BF6A8A5-3CD2-4355-993B-7E00F3405FC5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Codigo Dependencia</t>
        </r>
      </text>
    </comment>
    <comment ref="L2" authorId="1" shapeId="0" xr:uid="{E759EE3E-2E54-45F7-A80F-89388494C218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Estados: 
No Requiere
En Estructuración
En borrador
Para revisión directiva
Para revisión de ........Iniciales
Aprobado </t>
        </r>
      </text>
    </comment>
    <comment ref="Q2" authorId="2" shapeId="0" xr:uid="{202FEF81-BD41-4F1A-B56E-E88E7E0437F0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debe revisar la ubicación actual vs la proyectada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tc={89FA9303-D9A4-472A-A020-E410C0A0618B}</author>
    <author>tc={E5FD387F-2FEE-4DD4-95D0-5A3156C18CAB}</author>
    <author>tc={D25585CC-EA83-448B-A18B-93A110805840}</author>
  </authors>
  <commentList>
    <comment ref="B2" authorId="0" shapeId="0" xr:uid="{89FA9303-D9A4-472A-A020-E410C0A0618B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Codigo Dependencia</t>
        </r>
      </text>
    </comment>
    <comment ref="L2" authorId="1" shapeId="0" xr:uid="{E5FD387F-2FEE-4DD4-95D0-5A3156C18CAB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Estados: 
No Requiere
En Estructuración
En borrador
Para revisión directiva
Para revisión de ........Iniciales
Aprobado </t>
        </r>
      </text>
    </comment>
    <comment ref="Q2" authorId="2" shapeId="0" xr:uid="{D25585CC-EA83-448B-A18B-93A110805840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debe revisar la ubicación actual vs la proyectada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tc={6488C9BE-DD4A-4EE3-83A6-EB5B69A94068}</author>
    <author>tc={E1F42956-290E-4E87-AC53-654963C3F5E2}</author>
    <author>tc={3F3CC0F5-AF5E-4261-9133-CEAC9155C7F8}</author>
  </authors>
  <commentList>
    <comment ref="B2" authorId="0" shapeId="0" xr:uid="{6488C9BE-DD4A-4EE3-83A6-EB5B69A94068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Codigo Dependencia</t>
        </r>
      </text>
    </comment>
    <comment ref="L2" authorId="1" shapeId="0" xr:uid="{E1F42956-290E-4E87-AC53-654963C3F5E2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Estados: 
No Requiere
En Estructuración
En borrador
Para revisión directiva
Para revisión de ........Iniciales
Aprobado </t>
        </r>
      </text>
    </comment>
    <comment ref="Q2" authorId="2" shapeId="0" xr:uid="{3F3CC0F5-AF5E-4261-9133-CEAC9155C7F8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debe revisar la ubicación actual vs la proyectada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tc={A2DC5DA5-A00C-4F68-A5AB-870156058927}</author>
    <author>tc={4D9FDFE4-DDA0-4563-B9E2-4AAE649DC23E}</author>
    <author>tc={547081B9-9874-41CB-BDB6-CDC0D39FF726}</author>
  </authors>
  <commentList>
    <comment ref="B2" authorId="0" shapeId="0" xr:uid="{A2DC5DA5-A00C-4F68-A5AB-870156058927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Codigo Dependencia</t>
        </r>
      </text>
    </comment>
    <comment ref="L2" authorId="1" shapeId="0" xr:uid="{4D9FDFE4-DDA0-4563-B9E2-4AAE649DC23E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Estados: 
No Requiere
En Estructuración
En borrador
Para revisión directiva
Para revisión de ........Iniciales
Aprobado </t>
        </r>
      </text>
    </comment>
    <comment ref="Q2" authorId="2" shapeId="0" xr:uid="{547081B9-9874-41CB-BDB6-CDC0D39FF726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debe revisar la ubicación actual vs la proyectada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tc={142456E9-88FE-43F2-8A32-8681D20E2D5B}</author>
    <author>tc={EE8479FA-9F7C-4356-8428-C89CE5D80C36}</author>
    <author>tc={5D07F68D-B0E6-4BDC-835A-ABCD10C9FEC9}</author>
  </authors>
  <commentList>
    <comment ref="B2" authorId="0" shapeId="0" xr:uid="{142456E9-88FE-43F2-8A32-8681D20E2D5B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Codigo Dependencia</t>
        </r>
      </text>
    </comment>
    <comment ref="L2" authorId="1" shapeId="0" xr:uid="{EE8479FA-9F7C-4356-8428-C89CE5D80C36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Estados: 
No Requiere
En Estructuración
En borrador
Para revisión directiva
Para revisión de ........Iniciales
Aprobado </t>
        </r>
      </text>
    </comment>
    <comment ref="Q2" authorId="2" shapeId="0" xr:uid="{5D07F68D-B0E6-4BDC-835A-ABCD10C9FEC9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debe revisar la ubicación actual vs la proyectada</t>
        </r>
      </text>
    </comment>
  </commentList>
</comments>
</file>

<file path=xl/sharedStrings.xml><?xml version="1.0" encoding="utf-8"?>
<sst xmlns="http://schemas.openxmlformats.org/spreadsheetml/2006/main" count="1751" uniqueCount="568">
  <si>
    <t>Estratégico</t>
  </si>
  <si>
    <t>Conductor</t>
  </si>
  <si>
    <t>Analista</t>
  </si>
  <si>
    <t>Listado Maestro de Manuales</t>
  </si>
  <si>
    <t>Version</t>
  </si>
  <si>
    <t>Una vez aprobado + 365 dias</t>
  </si>
  <si>
    <t>Favor cambiar el estado una vez dado el VoBo</t>
  </si>
  <si>
    <t>Favor actualizar la observacion una vez revisado</t>
  </si>
  <si>
    <t>Estruturador insertar iniciales</t>
  </si>
  <si>
    <t>Visto bueno equipo</t>
  </si>
  <si>
    <t>Definir acorde con MGD</t>
  </si>
  <si>
    <t>Codigo Manual</t>
  </si>
  <si>
    <t>Codigo Area</t>
  </si>
  <si>
    <t>Area / Cargo</t>
  </si>
  <si>
    <t>Nombre del Documento</t>
  </si>
  <si>
    <t>Proceso Asociado</t>
  </si>
  <si>
    <t>Versión</t>
  </si>
  <si>
    <t>Fecha de Creacion</t>
  </si>
  <si>
    <t>Fecha última actualización</t>
  </si>
  <si>
    <t>Fecha próxima revisión</t>
  </si>
  <si>
    <t>Días restantes</t>
  </si>
  <si>
    <t>Vigencia</t>
  </si>
  <si>
    <t>Estado del Documento</t>
  </si>
  <si>
    <t>Observaciones</t>
  </si>
  <si>
    <t>Encargado 1</t>
  </si>
  <si>
    <t>VoBo</t>
  </si>
  <si>
    <t>Enlace Doc al drive</t>
  </si>
  <si>
    <t>Cargo Actual</t>
  </si>
  <si>
    <t>Responsable Actualización</t>
  </si>
  <si>
    <t>Responsable revisión/aprobación</t>
  </si>
  <si>
    <t>Tipo de Documento</t>
  </si>
  <si>
    <t>Nivel de Acceso</t>
  </si>
  <si>
    <t>Nivel Jerarquico</t>
  </si>
  <si>
    <t>notas</t>
  </si>
  <si>
    <t>MAN‑GG‑01-0</t>
  </si>
  <si>
    <t>Gerencia</t>
  </si>
  <si>
    <t>Manual De Funciones Gerente General</t>
  </si>
  <si>
    <t>Dirección Estratégica / Gobierno Corporativo</t>
  </si>
  <si>
    <t>02</t>
  </si>
  <si>
    <t>En Borrador</t>
  </si>
  <si>
    <t>Revisar por el nuevo GG</t>
  </si>
  <si>
    <t>Guillermo Leon Palacio Vega</t>
  </si>
  <si>
    <t>Gerente General</t>
  </si>
  <si>
    <t>Gerencia General</t>
  </si>
  <si>
    <t xml:space="preserve">Manual </t>
  </si>
  <si>
    <t>MAN‑GG‑02-01</t>
  </si>
  <si>
    <t>0.1</t>
  </si>
  <si>
    <t>Asistente de Gerencia</t>
  </si>
  <si>
    <t>Manual De Funciones Asistente de General</t>
  </si>
  <si>
    <t>Dirección Estratégica</t>
  </si>
  <si>
    <t>Sin Documentar</t>
  </si>
  <si>
    <t>Documentar</t>
  </si>
  <si>
    <t>Kimberly</t>
  </si>
  <si>
    <t>MAN‑GG‑03-0A</t>
  </si>
  <si>
    <t>0.a</t>
  </si>
  <si>
    <t xml:space="preserve">Control Interno </t>
  </si>
  <si>
    <t>Manual de Funciones de Control Interno</t>
  </si>
  <si>
    <t>Gestión de Control Interno y Auditoría</t>
  </si>
  <si>
    <t>En Estructuración</t>
  </si>
  <si>
    <t>Revisar - cambiar codigo MAN-GH-03</t>
  </si>
  <si>
    <t>REV IV</t>
  </si>
  <si>
    <t>Consuelo Rodriguez Guerrero</t>
  </si>
  <si>
    <t>Responsable de Control Interno</t>
  </si>
  <si>
    <t>Comité SIG / Gerencia</t>
  </si>
  <si>
    <t>Diseño robusto ( auditoria x2 ) tele trabajo</t>
  </si>
  <si>
    <t>MAN‑GG‑03-0B</t>
  </si>
  <si>
    <t>0.b</t>
  </si>
  <si>
    <t>Juridica</t>
  </si>
  <si>
    <t>Manual de Funciones Juridica</t>
  </si>
  <si>
    <t>Gestión Jurídica y Cumplimiento Legal</t>
  </si>
  <si>
    <t xml:space="preserve">Revisar </t>
  </si>
  <si>
    <t>Nuevo</t>
  </si>
  <si>
    <t>Responsable Jurídico</t>
  </si>
  <si>
    <t>MAN‑GER‑03-0C</t>
  </si>
  <si>
    <t>0.c</t>
  </si>
  <si>
    <t>Oficial de cumplimiento</t>
  </si>
  <si>
    <t>Manual de Funciones Oficial de Cumplimiento</t>
  </si>
  <si>
    <t>Cumplimiento Normativo / SARLAFT</t>
  </si>
  <si>
    <t>Oficial de Cumplimiento</t>
  </si>
  <si>
    <t>MAN‑DAF‑01-1</t>
  </si>
  <si>
    <t>Direccion Administrativa y Financiera</t>
  </si>
  <si>
    <t>Manual de Funciones Direccion Adminstrativa y Financiera</t>
  </si>
  <si>
    <t>Gestión Administrativa y Financiera</t>
  </si>
  <si>
    <t>Daniel Niño</t>
  </si>
  <si>
    <t>Director Adm. y Financiera</t>
  </si>
  <si>
    <t>MAN‑DAF‑02-11</t>
  </si>
  <si>
    <t>1.1</t>
  </si>
  <si>
    <t>Analista Administrativo</t>
  </si>
  <si>
    <t>Manual de Funciones Analista Administrativo</t>
  </si>
  <si>
    <t>Gestión Administrativa</t>
  </si>
  <si>
    <t>MAN‑GH‑01-12</t>
  </si>
  <si>
    <t>1.2</t>
  </si>
  <si>
    <t>Profesional de Gestión Humana</t>
  </si>
  <si>
    <t>Manual De Funciones Coordinador de Nómina y Seguridad Social</t>
  </si>
  <si>
    <t>Gestión Humana</t>
  </si>
  <si>
    <t>01</t>
  </si>
  <si>
    <t>Para revision directiva</t>
  </si>
  <si>
    <t>CAMBIAR COD  DE MAN-GH-06</t>
  </si>
  <si>
    <t>OK OL</t>
  </si>
  <si>
    <t>Coordinador de Nómina</t>
  </si>
  <si>
    <t>Director de Gestión Humana</t>
  </si>
  <si>
    <t>MAN‑GH‑02-121</t>
  </si>
  <si>
    <t>1.2.1</t>
  </si>
  <si>
    <t>Analista RRHH</t>
  </si>
  <si>
    <t>Manual De Funciones Analista de Talento Humano</t>
  </si>
  <si>
    <t>Terminar e icluir activi de RRHH</t>
  </si>
  <si>
    <t>Coordinador de Gestión Humana</t>
  </si>
  <si>
    <t>MAN‑GH‑03-122</t>
  </si>
  <si>
    <t>1.2.2</t>
  </si>
  <si>
    <t>Auxilar de RRHH</t>
  </si>
  <si>
    <t>Manual de Funciones Auxiliar de Talento Humano</t>
  </si>
  <si>
    <t>Auxiliar RRHH</t>
  </si>
  <si>
    <t>MAN‑GH‑04-123</t>
  </si>
  <si>
    <t>1.2.3</t>
  </si>
  <si>
    <t>Auxiliar de Guarda de Seguridad</t>
  </si>
  <si>
    <t>Manual de Funciones Auxiliar Guarda de Seguridad</t>
  </si>
  <si>
    <t>Alvaro Cordoba Rocha</t>
  </si>
  <si>
    <t>Auxiliar SST</t>
  </si>
  <si>
    <t>Coordinador de SST</t>
  </si>
  <si>
    <t>MAN‑GH‑05-124</t>
  </si>
  <si>
    <t>1.2.4</t>
  </si>
  <si>
    <t>Auxiliar de Servicios Generales</t>
  </si>
  <si>
    <t>Manual de Funciones Servicios Generales</t>
  </si>
  <si>
    <t>Servicios Generales</t>
  </si>
  <si>
    <t>Ajustar
(dos personas)</t>
  </si>
  <si>
    <t>Mary Johana Llanos Caicedo</t>
  </si>
  <si>
    <t>Auxiliar Servicios Generales</t>
  </si>
  <si>
    <t>MAN‑TES‑01-13</t>
  </si>
  <si>
    <t>1.3</t>
  </si>
  <si>
    <t>Profesional en Tesoreria Junior</t>
  </si>
  <si>
    <t>Tesorería</t>
  </si>
  <si>
    <t>CAMBIAR COD DE MAN-GH-10</t>
  </si>
  <si>
    <t>REV OL</t>
  </si>
  <si>
    <t>OK IL</t>
  </si>
  <si>
    <t>Laura Camila Ruiz Penagos C.C. 1.001.200.502</t>
  </si>
  <si>
    <t>Profesional Tesorería</t>
  </si>
  <si>
    <t>MAN‑TES‑02-131</t>
  </si>
  <si>
    <t>1.3.1</t>
  </si>
  <si>
    <t>Analista de Tesoreria</t>
  </si>
  <si>
    <t>Manual de Funciones Analista de Tesoreria</t>
  </si>
  <si>
    <t>Analista Tesorería</t>
  </si>
  <si>
    <t>MAN‑TES‑03-132</t>
  </si>
  <si>
    <t>1.3.2</t>
  </si>
  <si>
    <t>Auxiliar de Tesoreria</t>
  </si>
  <si>
    <t>Manual de Funciones Auxiliar de Tesoreria</t>
  </si>
  <si>
    <t>Auxiliar Tesorería</t>
  </si>
  <si>
    <t>MAN‑FAC‑01-14</t>
  </si>
  <si>
    <t>1.4</t>
  </si>
  <si>
    <t>Profesional en Facturacion y Cartera</t>
  </si>
  <si>
    <t>Profesional facturacion y cartera</t>
  </si>
  <si>
    <t>Facturación y Cartera</t>
  </si>
  <si>
    <t>CAMBIAR COD DE MAN-GH-17</t>
  </si>
  <si>
    <t>Natali Foxy Fuentes Orjuela C.C. 1.010.247.253</t>
  </si>
  <si>
    <t>Profesional Facturación</t>
  </si>
  <si>
    <t>MAN‑FAC‑02-141</t>
  </si>
  <si>
    <t>1.4.1</t>
  </si>
  <si>
    <t>Analista de Facturación y Cartera</t>
  </si>
  <si>
    <t>Manual De Funciones Analista de Facturación y Cartera</t>
  </si>
  <si>
    <t>Analista Facturación</t>
  </si>
  <si>
    <t>MAN‑FAC‑03-142</t>
  </si>
  <si>
    <t>1.4.2</t>
  </si>
  <si>
    <t>Auxiliar Facturacion y Cartera</t>
  </si>
  <si>
    <t>Auxiliar Facturación</t>
  </si>
  <si>
    <t>MAN‑COMP‑01-15</t>
  </si>
  <si>
    <t>1.5</t>
  </si>
  <si>
    <t>Profesional en Compras</t>
  </si>
  <si>
    <t>Manual De Funciones Profesional en Compras</t>
  </si>
  <si>
    <t>Compras</t>
  </si>
  <si>
    <t>CAMBIAR COD DE MAN-GH-18</t>
  </si>
  <si>
    <t>Ingreso  nuevo</t>
  </si>
  <si>
    <t>Profesional Compras</t>
  </si>
  <si>
    <t>MAN‑COMP‑02-151</t>
  </si>
  <si>
    <t>1.5.1</t>
  </si>
  <si>
    <t>Analista legalizacion</t>
  </si>
  <si>
    <t>Manual De Funciones Analista de Legalizaciones</t>
  </si>
  <si>
    <t>Revizar nuevo alcance Actualización de Funciones
por sus funciones actulaes este cargo deberia estar en la DAF</t>
  </si>
  <si>
    <t>Julio Cesar Peña Alfonso</t>
  </si>
  <si>
    <t>Analista Legalizaciones</t>
  </si>
  <si>
    <t>MAN‑COMP‑03-152</t>
  </si>
  <si>
    <t>1.5.2</t>
  </si>
  <si>
    <t>Auxiliar de Compras</t>
  </si>
  <si>
    <t>Manual de Funciones Auxiliar de Compras</t>
  </si>
  <si>
    <t>Auxiliar Compras</t>
  </si>
  <si>
    <t>Analista Compras</t>
  </si>
  <si>
    <t>MAN‑PLAN‑01-16</t>
  </si>
  <si>
    <t>1.6</t>
  </si>
  <si>
    <t>Profesional Financiero y Planeacion</t>
  </si>
  <si>
    <t>Manual de Funciones Profesional Financiero y Planeación</t>
  </si>
  <si>
    <t>Planeación Financiera</t>
  </si>
  <si>
    <t>Profesional Financiero</t>
  </si>
  <si>
    <t>MAN‑PLAN‑02-161</t>
  </si>
  <si>
    <t>1.6.1</t>
  </si>
  <si>
    <t>Analista de Planeacion</t>
  </si>
  <si>
    <t>Manual de Funciones Analista de Planeacion</t>
  </si>
  <si>
    <t>Analista Planeación</t>
  </si>
  <si>
    <t>MAN‑SIG‑01-17</t>
  </si>
  <si>
    <t>1.7</t>
  </si>
  <si>
    <t>Profesional SIG</t>
  </si>
  <si>
    <t>Manual De Funciones Profesional SIG</t>
  </si>
  <si>
    <t>Sistema Integrado de Gestión</t>
  </si>
  <si>
    <t>Ajustar funciones al cargo CAMBIAR COD DE MAN-GH-19</t>
  </si>
  <si>
    <t>Comité SIG</t>
  </si>
  <si>
    <t>MAN‑SIG‑02-171</t>
  </si>
  <si>
    <t>1.7.1</t>
  </si>
  <si>
    <t>Analista SIG</t>
  </si>
  <si>
    <t>Manual De Funciones Analista SST</t>
  </si>
  <si>
    <t>Revisar por equipo</t>
  </si>
  <si>
    <t>Paula Vanesa Calderon Fajardo</t>
  </si>
  <si>
    <t>Analista SST</t>
  </si>
  <si>
    <t>MAN‑TI‑01-18</t>
  </si>
  <si>
    <t>1.8</t>
  </si>
  <si>
    <t>Profesional TI</t>
  </si>
  <si>
    <t>Manual de Funciones Profesional TI</t>
  </si>
  <si>
    <t>Tecnología</t>
  </si>
  <si>
    <t>Documentar CAMBIAR COD DE MAN-GH-03</t>
  </si>
  <si>
    <t>MAN‑TI‑02-181</t>
  </si>
  <si>
    <t>1.8.1</t>
  </si>
  <si>
    <t>Auxiliar soporte tecnico</t>
  </si>
  <si>
    <t>Manual de Funciones Auxiliar Soporte Tecnico</t>
  </si>
  <si>
    <t>Auxiliar TI</t>
  </si>
  <si>
    <t>MAN‑TI‑03-182</t>
  </si>
  <si>
    <t>1.8.2</t>
  </si>
  <si>
    <t>Auxiliar de Seguridad ( Pdte Rol)</t>
  </si>
  <si>
    <t>Manual de Funciones Auxiliar de Seguridad</t>
  </si>
  <si>
    <t>Auxiliar Seguridad TI</t>
  </si>
  <si>
    <t>MAN‑OP‑01-2</t>
  </si>
  <si>
    <t>Direccion de Operaciones</t>
  </si>
  <si>
    <t>Manual De Funciones Director de Operaciones</t>
  </si>
  <si>
    <t>Operaciones</t>
  </si>
  <si>
    <t>Aprobado por Dir/Revisar por equipo - Actualización de Funciones CAMBIAR COD DE MAN-GH-30</t>
  </si>
  <si>
    <t>Porfirio Antonio Morales Castro</t>
  </si>
  <si>
    <t>Director de Operaciones</t>
  </si>
  <si>
    <t>Linea mudanzas</t>
  </si>
  <si>
    <t>MAN‑OP‑02-21</t>
  </si>
  <si>
    <t>2.1</t>
  </si>
  <si>
    <t>Profesional Mudanzas</t>
  </si>
  <si>
    <t>Manual De Funciones Coordinador de Operaciones</t>
  </si>
  <si>
    <t>Aprobado por Dir/Revisar por equipo CAMBIAR COD DE MAN-GH-45</t>
  </si>
  <si>
    <t>Jhon Alexander Riaño Perez</t>
  </si>
  <si>
    <t>Coordinador Operaciones</t>
  </si>
  <si>
    <t>MAN‑OP‑03-211</t>
  </si>
  <si>
    <t>2.1.1</t>
  </si>
  <si>
    <t>Analista de Operaciones</t>
  </si>
  <si>
    <t>Manual de Funciones Analista de Operaciones</t>
  </si>
  <si>
    <t>Angie Carolina Moreno Gonzalez</t>
  </si>
  <si>
    <t>Analista Operaciones</t>
  </si>
  <si>
    <t>MAN‑OP‑04-212</t>
  </si>
  <si>
    <t>2.1.2</t>
  </si>
  <si>
    <t>Auxiliar (Supervisor de Zona)</t>
  </si>
  <si>
    <t>Manual de Funciones Auxiliar (Supervisor de zona)</t>
  </si>
  <si>
    <t>Supervisor de Zona</t>
  </si>
  <si>
    <t>MAN‑OP‑05-2121</t>
  </si>
  <si>
    <t>2.1.2.1</t>
  </si>
  <si>
    <t>Auxiliar (Operario)</t>
  </si>
  <si>
    <t>Manual De Funciones Operario</t>
  </si>
  <si>
    <t>Aprobado por Dir/Revisar por equipo - Actualización de Funciones</t>
  </si>
  <si>
    <t>Varios</t>
  </si>
  <si>
    <t>Operario</t>
  </si>
  <si>
    <t>MAN‑OP‑06-2122</t>
  </si>
  <si>
    <t>2.1.2.2</t>
  </si>
  <si>
    <t>Auxiliar (Conductor)</t>
  </si>
  <si>
    <t>Manual De Funciones Conductor</t>
  </si>
  <si>
    <t>MAN‑OP‑07-213</t>
  </si>
  <si>
    <t>2.1.3</t>
  </si>
  <si>
    <t>Analista Programador Logistico</t>
  </si>
  <si>
    <t>Manual de Funciones Analista Programador Logistico</t>
  </si>
  <si>
    <t>Analista Logístico</t>
  </si>
  <si>
    <t>MAN‑OP‑08-214</t>
  </si>
  <si>
    <t>2.1.4</t>
  </si>
  <si>
    <t>Analista Mantenimiento</t>
  </si>
  <si>
    <t>Manual de Funciones analista Mantenimiento</t>
  </si>
  <si>
    <t>MAN‑OP‑09-215</t>
  </si>
  <si>
    <t>2.1.5</t>
  </si>
  <si>
    <t>Analista Seguridad y Control de Trafico</t>
  </si>
  <si>
    <t>Manual de Funciones Analista Seguridad y Control de Trafico</t>
  </si>
  <si>
    <t>Analista Seguridad Tráfico</t>
  </si>
  <si>
    <t>MAN‑PE‑01-22</t>
  </si>
  <si>
    <t>2.2</t>
  </si>
  <si>
    <t>Profesional Proyectos Especiales</t>
  </si>
  <si>
    <t>Manual De Funciones Coordinador de Proyectos Especiales</t>
  </si>
  <si>
    <t>Proyectos Especiales</t>
  </si>
  <si>
    <t>30/06/2026</t>
  </si>
  <si>
    <t>Aprobado por Dir/Revisar por equipo CAMBIAR COD DE MAN-GH-32</t>
  </si>
  <si>
    <t>Daniel Fernando Camargo Blanco</t>
  </si>
  <si>
    <t>Coordinador Proyectos</t>
  </si>
  <si>
    <t>Linea transporte y almacenamiento</t>
  </si>
  <si>
    <t>MAN‑PE‑02-221</t>
  </si>
  <si>
    <t>2.2.1</t>
  </si>
  <si>
    <t>Analista Proyectos Especiales</t>
  </si>
  <si>
    <t>Manual De Funciones Analista Proyectos Especiales</t>
  </si>
  <si>
    <t>Analista Proyectos</t>
  </si>
  <si>
    <t>MAN‑PE‑03-222</t>
  </si>
  <si>
    <t>2.2.2</t>
  </si>
  <si>
    <t>Lider In House</t>
  </si>
  <si>
    <t>Manual De Funciones Lider In House</t>
  </si>
  <si>
    <t>Debe salir  de chico y cargarse al proyecto</t>
  </si>
  <si>
    <t>Edwar (davivienda)</t>
  </si>
  <si>
    <t>Líder In House</t>
  </si>
  <si>
    <t>MAN‑PE‑04-2211</t>
  </si>
  <si>
    <t>2.2.1.1</t>
  </si>
  <si>
    <t>Lideres Proyectos</t>
  </si>
  <si>
    <t>Manual De Funciones  Lideres Proyectos</t>
  </si>
  <si>
    <t>Se debe documentar un general</t>
  </si>
  <si>
    <t>Líder Proyecto</t>
  </si>
  <si>
    <t>Staff x proy</t>
  </si>
  <si>
    <t>MAN‑PE‑05-2212</t>
  </si>
  <si>
    <t>2.2.1.2</t>
  </si>
  <si>
    <t>Manual de Funciones Analista</t>
  </si>
  <si>
    <t>Analista Proyecto</t>
  </si>
  <si>
    <t>MAN‑PE‑06-2213</t>
  </si>
  <si>
    <t>2.2.1.3</t>
  </si>
  <si>
    <t>Auxiliares Equipo Tecnico</t>
  </si>
  <si>
    <t>Manual De Funciones Auxiliares Equipo Tecnico</t>
  </si>
  <si>
    <t>Auxiliar Técnico</t>
  </si>
  <si>
    <t>MAN‑OP‑10-23</t>
  </si>
  <si>
    <t>2.3</t>
  </si>
  <si>
    <t>Profesional Operaciones</t>
  </si>
  <si>
    <t>Manual De Funciones Profesional Operaciones</t>
  </si>
  <si>
    <t>Para revison de Ing Ivon</t>
  </si>
  <si>
    <t>Revisar el alcance de este cargo, actualmente es el encargado mudanzas y demas líneas para asi proyectar mejor las funciones a la realidad de lo que va a atender CAMBIAR COD DE MAN-GH-31</t>
  </si>
  <si>
    <t>Jesus Guillermo Garzon Pineda</t>
  </si>
  <si>
    <t>Lineas bodega, paqueteo, mensajeria</t>
  </si>
  <si>
    <t>Esta línea la puedo tomar Javier Bonilla</t>
  </si>
  <si>
    <t>MAN‑OP‑11-231</t>
  </si>
  <si>
    <t>2.3.1</t>
  </si>
  <si>
    <t>Auxiliar Administrativo</t>
  </si>
  <si>
    <t>Manual De Funciones Auxiliar Administrativo</t>
  </si>
  <si>
    <t>Edwin Forero Huepa</t>
  </si>
  <si>
    <t>MAN‑OP‑12-232</t>
  </si>
  <si>
    <t>2.3.2</t>
  </si>
  <si>
    <t>Auxiliar Bodega</t>
  </si>
  <si>
    <t>Manual De Funciones Auxiliar Bodega</t>
  </si>
  <si>
    <t>MAN‑COM‑01-3</t>
  </si>
  <si>
    <t>Direccion Comercial</t>
  </si>
  <si>
    <t>Manual De Funciones Dirección Comercial</t>
  </si>
  <si>
    <t>Comercial</t>
  </si>
  <si>
    <t>Ajautar al nuevo perfil</t>
  </si>
  <si>
    <t>Director Comercial</t>
  </si>
  <si>
    <t>MAN‑COM‑02-31</t>
  </si>
  <si>
    <t>3.1</t>
  </si>
  <si>
    <t>Profesional Comercial (Senior)</t>
  </si>
  <si>
    <t>Manual De Funciones Profesional Comercial (Senior)</t>
  </si>
  <si>
    <t>Profesional Comercial</t>
  </si>
  <si>
    <t>MAN‑COM‑03-311</t>
  </si>
  <si>
    <t>3.1.1</t>
  </si>
  <si>
    <t>Analista Comercial</t>
  </si>
  <si>
    <t>Manual De Funciones Analista Comercial</t>
  </si>
  <si>
    <t xml:space="preserve">Valentina </t>
  </si>
  <si>
    <t>MAN‑COM‑04-312</t>
  </si>
  <si>
    <t>3.1.2</t>
  </si>
  <si>
    <t>Ejecutivo Comercial B2C Mudanzas Corporativas</t>
  </si>
  <si>
    <t>Manual De Funciones Ejecutivo de Cuenta</t>
  </si>
  <si>
    <t>03</t>
  </si>
  <si>
    <t>Ajustar al nuevo perfil B2C, Actualizacion de funciones</t>
  </si>
  <si>
    <t>Natalia Castro Ocampo</t>
  </si>
  <si>
    <t>Ejecutivo Comercial</t>
  </si>
  <si>
    <t>MAN‑COM‑05-32</t>
  </si>
  <si>
    <t>3.2</t>
  </si>
  <si>
    <t xml:space="preserve">Profesional  en Licitaciones </t>
  </si>
  <si>
    <t xml:space="preserve">Manual De Funciones Profesional  en Licitaciones </t>
  </si>
  <si>
    <t>Comercial – Licitaciones</t>
  </si>
  <si>
    <t>Profesional Licitaciones</t>
  </si>
  <si>
    <t>MAN‑COM‑06-321</t>
  </si>
  <si>
    <t>3.2.1</t>
  </si>
  <si>
    <t>Analista Licitaciones</t>
  </si>
  <si>
    <t>Manual De Funciones Analista Licitaciones</t>
  </si>
  <si>
    <t>MAN‑COM‑07-322</t>
  </si>
  <si>
    <t>3.2.2</t>
  </si>
  <si>
    <t>Analista de Costos</t>
  </si>
  <si>
    <t>Manual De Funciones Analista de Costos</t>
  </si>
  <si>
    <t>Comercial – Costos</t>
  </si>
  <si>
    <t>Analista Costos</t>
  </si>
  <si>
    <t>MAN‑COM‑08-323</t>
  </si>
  <si>
    <t>3.2.3</t>
  </si>
  <si>
    <t>Ejecutivo Comercial B2B / B2G</t>
  </si>
  <si>
    <t>Manual De Funciones Ejecutivo Comercial B2B / B2G</t>
  </si>
  <si>
    <t>Ajustar al nuevo perfil B2B/B2G</t>
  </si>
  <si>
    <t>Ejecutivo B2B/B2G</t>
  </si>
  <si>
    <t>MAN‑COM‑09-33</t>
  </si>
  <si>
    <t>3.3</t>
  </si>
  <si>
    <t>Auxiliar Adminstrativo</t>
  </si>
  <si>
    <t>Manual De Funciones Auxiliar Adminstrativo</t>
  </si>
  <si>
    <t>MAN‑MKT‑01-4</t>
  </si>
  <si>
    <t>Direccion de Marketing</t>
  </si>
  <si>
    <t>Manual De Funciones Direccion de Marketing</t>
  </si>
  <si>
    <t>Marketing</t>
  </si>
  <si>
    <t>Claudia xxxxxx</t>
  </si>
  <si>
    <t>Director Marketing</t>
  </si>
  <si>
    <t>MAN‑MKT‑02-41</t>
  </si>
  <si>
    <t>4.1</t>
  </si>
  <si>
    <t>Especialista en Marketing Digital</t>
  </si>
  <si>
    <t>Manual De Funciones Especialista en Marketing Digital</t>
  </si>
  <si>
    <t>Marketing Digital</t>
  </si>
  <si>
    <t>Especialista Marketing</t>
  </si>
  <si>
    <t>MAN‑MKT‑03-411</t>
  </si>
  <si>
    <t>4.1.1</t>
  </si>
  <si>
    <t>Diseñador Gráfico / Multimedia</t>
  </si>
  <si>
    <t>Manual De Funciones Diseñador Gráfico / Multimedia</t>
  </si>
  <si>
    <t>Diseñador Gráfico</t>
  </si>
  <si>
    <t>MAN‑MKT‑04-412</t>
  </si>
  <si>
    <t>4.1.2</t>
  </si>
  <si>
    <t>Profesional Community Manager</t>
  </si>
  <si>
    <t>Community Manager</t>
  </si>
  <si>
    <t>Aprobado por Dir/Revisar por equipo, excluir Sev cliente</t>
  </si>
  <si>
    <t>MAN‑MKT‑05-413</t>
  </si>
  <si>
    <t>4.1.3</t>
  </si>
  <si>
    <t>Profesional SAC</t>
  </si>
  <si>
    <t>Manual De Funciones Profesional SAC</t>
  </si>
  <si>
    <t>Servicio al Cliente</t>
  </si>
  <si>
    <t>Natalia Vanegas Martinez</t>
  </si>
  <si>
    <t>MAN‑MKT‑06-414</t>
  </si>
  <si>
    <t>4.1.4</t>
  </si>
  <si>
    <t>Asistente de Marketing</t>
  </si>
  <si>
    <t>Manual De Funciones Asistente de Marketing</t>
  </si>
  <si>
    <t>Asistente Marketing</t>
  </si>
  <si>
    <t>Listado Maestro de Procesos</t>
  </si>
  <si>
    <t>Favor actializar la observacion una vez revisado</t>
  </si>
  <si>
    <t>PRO-GEN-01-0</t>
  </si>
  <si>
    <t>Gobierno corporativo</t>
  </si>
  <si>
    <t>Procesos</t>
  </si>
  <si>
    <t>PRO-DAF-01-1</t>
  </si>
  <si>
    <t>PRO-DO-01-2</t>
  </si>
  <si>
    <t>PRO-DC-01-3</t>
  </si>
  <si>
    <t>PRO-DMKD-01-4</t>
  </si>
  <si>
    <t>PRO-GD-01-5</t>
  </si>
  <si>
    <t>Gestion Documental</t>
  </si>
  <si>
    <t>Listado de radicacion de correspondencia</t>
  </si>
  <si>
    <t>Listado Maestro de Procedimientos</t>
  </si>
  <si>
    <t>Ver Estructuración del manualon</t>
  </si>
  <si>
    <t>Visto bueNo Requiere equipo</t>
  </si>
  <si>
    <t>Responsable reviEstructuración del manualón/aprobación</t>
  </si>
  <si>
    <t>No Requiere</t>
  </si>
  <si>
    <t>Procedimientos</t>
  </si>
  <si>
    <t>PROD-CI-01-0A</t>
  </si>
  <si>
    <t>0.A</t>
  </si>
  <si>
    <t>Procedimiento del plan anual de auditoría interna</t>
  </si>
  <si>
    <t>revisar el manual y transformarlo a procedimiento</t>
  </si>
  <si>
    <t>REV IL</t>
  </si>
  <si>
    <t>PROD-CI-02-0A</t>
  </si>
  <si>
    <t>Procedimiento plan de mejoramiento</t>
  </si>
  <si>
    <t>0.B</t>
  </si>
  <si>
    <t>0.C</t>
  </si>
  <si>
    <t>Procedimiento Interinstitucional de Flujo de Información</t>
  </si>
  <si>
    <t>este procedimiento es a nivel de interacción de la información entre DAF y Asesores</t>
  </si>
  <si>
    <t>Profesional de Gestión de Talento Humano Senior</t>
  </si>
  <si>
    <t>PROD-GD-01-12</t>
  </si>
  <si>
    <t xml:space="preserve">Procedimiento reclutamiento, selección y contratación </t>
  </si>
  <si>
    <t>PROD-GD-02-12</t>
  </si>
  <si>
    <t>Procedimiento de lnducción y capacitación del personal</t>
  </si>
  <si>
    <t>PROD-GD-03-12</t>
  </si>
  <si>
    <t>Procemiento de desvinculación de personal</t>
  </si>
  <si>
    <t>PROD-GD-04-12</t>
  </si>
  <si>
    <t>Procedimiento de liquidación de nómina</t>
  </si>
  <si>
    <t>PROD-GD-05-12</t>
  </si>
  <si>
    <t>Procedimiento de evaluacion de desempeño</t>
  </si>
  <si>
    <t>PROD-GD-06-12</t>
  </si>
  <si>
    <t>Procedimiento interno disciplinario</t>
  </si>
  <si>
    <t>PROD-GD-07-12</t>
  </si>
  <si>
    <t>Procedimiento de bienestar laboral</t>
  </si>
  <si>
    <t>Auxiliar Guarda de Seguridad</t>
  </si>
  <si>
    <t>Procedimiento de control de ingreso de personal</t>
  </si>
  <si>
    <t>Procedimiento de mantenimiento de instalaciones</t>
  </si>
  <si>
    <t>PROD-TS-01-13</t>
  </si>
  <si>
    <t>Procedimiento de pagos</t>
  </si>
  <si>
    <t>PROD-TS-02-13</t>
  </si>
  <si>
    <t>Procedimiento de recaudo de cartera</t>
  </si>
  <si>
    <t>PROD-TS-03-13</t>
  </si>
  <si>
    <t>Procedimiento de caja menor</t>
  </si>
  <si>
    <t>PROD-TS-04-13</t>
  </si>
  <si>
    <t>Procedimiento de conciliaciiones de tesoreria</t>
  </si>
  <si>
    <t>PROD-FC-01-14</t>
  </si>
  <si>
    <t>Procedimiento gestion y emisión de facturas</t>
  </si>
  <si>
    <t>PROD-FC-02-14</t>
  </si>
  <si>
    <t>Procedimiento de cartera y cobranzas</t>
  </si>
  <si>
    <t>PROD-COMP-01-15</t>
  </si>
  <si>
    <t>Procedimiento de gestión de requisiciones de compras</t>
  </si>
  <si>
    <t>PROD-COMP-02-15</t>
  </si>
  <si>
    <t>Procedimiento de evaluación y selección de proveedores</t>
  </si>
  <si>
    <t>PROD-COMP-03-15</t>
  </si>
  <si>
    <t>Procedimiento recepción de materiales y gestión  de inventarios</t>
  </si>
  <si>
    <t>PROD-COMP-04-15</t>
  </si>
  <si>
    <t>Procedimiento de negociación y emisión de órdenes de Compra</t>
  </si>
  <si>
    <t>PROD-COMP-05-15</t>
  </si>
  <si>
    <t>Procedimiento de legalización de anticipos y gastos de viaje</t>
  </si>
  <si>
    <t>PROD-FP-01-16</t>
  </si>
  <si>
    <t>Procedimiento de planeación financiera (Elaboración y control presupuestal / proyecciones)</t>
  </si>
  <si>
    <t>PROD-PM-01-21</t>
  </si>
  <si>
    <t>Procedimiento de operaciones (mudanza)</t>
  </si>
  <si>
    <t>Aprobado</t>
  </si>
  <si>
    <t>Procediemiento aprobado por Dir Operaciones pero se requiere volver a revisar</t>
  </si>
  <si>
    <t>PROD-PL-01-21</t>
  </si>
  <si>
    <t>Procedimiento de control y seguimiento de comparendos</t>
  </si>
  <si>
    <t>Procedimiento estudio de seguridad</t>
  </si>
  <si>
    <t>Borrador</t>
  </si>
  <si>
    <t>Gestión Documental</t>
  </si>
  <si>
    <t>PROD-GD-01-5</t>
  </si>
  <si>
    <t>Procedimiento de retención documental</t>
  </si>
  <si>
    <t>PROD-GD-02-5</t>
  </si>
  <si>
    <t>Procedimiento de custodia y disposición final de documentos</t>
  </si>
  <si>
    <t>Listado Maestro de Instructivos</t>
  </si>
  <si>
    <t>INS-AG-01-01</t>
  </si>
  <si>
    <t>Analista Control de Trafico</t>
  </si>
  <si>
    <t>Profesional Comercial Senior</t>
  </si>
  <si>
    <t>Area</t>
  </si>
  <si>
    <t>FOR-AG-01-01</t>
  </si>
  <si>
    <t>MZ-CI-01-0A</t>
  </si>
  <si>
    <t>FOR-LOGA-01</t>
  </si>
  <si>
    <t>Formato de legalización de gastos</t>
  </si>
  <si>
    <t>FOR-LOGA-02</t>
  </si>
  <si>
    <t>Formato manejo de caja menor</t>
  </si>
  <si>
    <t>FOR-LOGO-02</t>
  </si>
  <si>
    <t>Formato de programación y despacho</t>
  </si>
  <si>
    <t>FOR-LOGO-04</t>
  </si>
  <si>
    <t>Formato control de precintos</t>
  </si>
  <si>
    <t>FOR-LOGO-06</t>
  </si>
  <si>
    <t>Formato de control de Horas Extra.</t>
  </si>
  <si>
    <t>FOR-LOGO-07</t>
  </si>
  <si>
    <t>Formato solicitud de anticipo</t>
  </si>
  <si>
    <t>FOR-LOGO-08</t>
  </si>
  <si>
    <t>Formato de inspección diaria de vehículos</t>
  </si>
  <si>
    <t>FOR-LOGO-09</t>
  </si>
  <si>
    <t>Formato entrega/devolución de elementos</t>
  </si>
  <si>
    <t>FOR-LOGO-10</t>
  </si>
  <si>
    <t>Formato de inventario de transporte</t>
  </si>
  <si>
    <t>FOR-LOGO-17</t>
  </si>
  <si>
    <t>Formato solicitud de mantenimiento</t>
  </si>
  <si>
    <t>FOR-LOGO-18</t>
  </si>
  <si>
    <t>Formato de control de asistencia</t>
  </si>
  <si>
    <t xml:space="preserve">MZ-LOGA-01 </t>
  </si>
  <si>
    <t>Matriz documentos para legalizar.</t>
  </si>
  <si>
    <t xml:space="preserve">MZ-LOGO-01 </t>
  </si>
  <si>
    <t>Matriz de Capacidad Vehicular</t>
  </si>
  <si>
    <t xml:space="preserve">MZ-LOGO-02 </t>
  </si>
  <si>
    <t>Matriz de personal operativo para programación de servicios</t>
  </si>
  <si>
    <t xml:space="preserve">MZ-SIG-07  </t>
  </si>
  <si>
    <t>Matriz legal SIG 2025 actualizada</t>
  </si>
  <si>
    <t>PRO-LOGA-01</t>
  </si>
  <si>
    <t>Procedimiento de manejo de fondo de caja menor</t>
  </si>
  <si>
    <t>PRO-LOGO-01</t>
  </si>
  <si>
    <t>POE de mudanzas en gral</t>
  </si>
  <si>
    <t>PRO-LOGO-02</t>
  </si>
  <si>
    <t>Proceso bodegaje</t>
  </si>
  <si>
    <t>PRO-LOGO-04</t>
  </si>
  <si>
    <t>Procedimiento monitoreo y seguimiento vehicular</t>
  </si>
  <si>
    <t>PRO-LOGO-05</t>
  </si>
  <si>
    <t>Procedimiento de cargue y descargue</t>
  </si>
  <si>
    <t>PRO-LOGO-07</t>
  </si>
  <si>
    <t>Procedimiento contratación de tercero</t>
  </si>
  <si>
    <t xml:space="preserve">PRO-MAN-01 </t>
  </si>
  <si>
    <t>Procedimiento de mantenimiento de vehículos</t>
  </si>
  <si>
    <t>PRO-PROY-01</t>
  </si>
  <si>
    <t>Procedimiento Metodológico de Proyectos Especiales (PMO)</t>
  </si>
  <si>
    <t>Proceso proyectos especiales</t>
  </si>
  <si>
    <t>MAN-MGD-01</t>
  </si>
  <si>
    <t>Manual de Gobierno Documental</t>
  </si>
  <si>
    <t>Dirección / Gobierno Documental</t>
  </si>
  <si>
    <t>Politica</t>
  </si>
  <si>
    <t>POL-SIG-01</t>
  </si>
  <si>
    <t>Política de Calidad SIG</t>
  </si>
  <si>
    <t>Dirección SIG</t>
  </si>
  <si>
    <t>OL: En solicitud ing Ivon a SIG actual</t>
  </si>
  <si>
    <t>POL-SIG-02</t>
  </si>
  <si>
    <t>Política Ambiental SIG</t>
  </si>
  <si>
    <t>POL-SIG-03</t>
  </si>
  <si>
    <t>Política de SST SIG</t>
  </si>
  <si>
    <t>Acuerdo de Niveles de Servicio (SLA)</t>
  </si>
  <si>
    <t>DAF/Contable</t>
  </si>
  <si>
    <t>IL documentar el ANS para la firma asesores en lo referente a la parte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</si>
</sst>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dd/mm/yy;@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0"/>
      <name val="Arial"/>
    </font>
    <font>
      <sz val="11"/>
      <color rgb="FF00B050"/>
      <name val="Calibri"/>
      <family val="2"/>
    </font>
    <font>
      <sz val="10"/>
      <color rgb="FF00B050"/>
      <name val="Arial"/>
      <family val="2"/>
    </font>
    <font>
      <sz val="11"/>
      <color rgb="FF0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theme="5"/>
      <name val="Calibri"/>
      <charset val="134"/>
      <scheme val="minor"/>
    </font>
    <font>
      <sz val="10"/>
      <color rgb="FF000000"/>
      <name val="Arial"/>
      <family val="2"/>
    </font>
    <font>
      <sz val="12"/>
      <color rgb="FF000000"/>
      <name val="Calibri"/>
      <charset val="134"/>
      <scheme val="minor"/>
    </font>
    <font>
      <sz val="11"/>
      <color rgb="FF000000"/>
      <name val="Calibri"/>
      <family val="2"/>
    </font>
    <font>
      <sz val="12"/>
      <color rgb="FFFF0000"/>
      <name val="Calibri"/>
      <charset val="134"/>
      <scheme val="minor"/>
    </font>
    <font>
      <sz val="11"/>
      <color theme="1"/>
      <name val="Calibri"/>
    </font>
    <font>
      <sz val="12"/>
      <color theme="5"/>
      <name val="Calibri"/>
      <charset val="134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6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rgb="FF00B0F0"/>
      <name val="Arial"/>
      <family val="2"/>
    </font>
    <font>
      <sz val="11"/>
      <color rgb="FF00B0F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FF0000"/>
      <name val="Calibri"/>
      <family val="2"/>
    </font>
    <font>
      <sz val="11"/>
      <color rgb="FFFF0000"/>
      <name val="Calibri"/>
      <charset val="134"/>
      <scheme val="minor"/>
    </font>
    <font>
      <b/>
      <sz val="11"/>
      <color theme="0" tint="-0.14999847407452621"/>
      <name val="Calibri"/>
      <charset val="134"/>
      <scheme val="minor"/>
    </font>
    <font>
      <sz val="11"/>
      <color theme="0" tint="-0.14999847407452621"/>
      <name val="Calibri"/>
      <charset val="134"/>
      <scheme val="minor"/>
    </font>
    <font>
      <sz val="10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3" fillId="0" borderId="0" xfId="0" applyFont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5" fillId="0" borderId="2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0" fontId="24" fillId="3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28" fillId="0" borderId="0" xfId="0" applyFont="1"/>
    <xf numFmtId="0" fontId="29" fillId="0" borderId="0" xfId="0" applyFont="1"/>
    <xf numFmtId="0" fontId="28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3" fillId="0" borderId="0" xfId="0" applyFont="1" applyAlignment="1">
      <alignment wrapText="1"/>
    </xf>
    <xf numFmtId="0" fontId="31" fillId="0" borderId="0" xfId="0" applyFont="1"/>
    <xf numFmtId="0" fontId="10" fillId="0" borderId="0" xfId="0" applyFont="1" applyAlignment="1">
      <alignment wrapText="1"/>
    </xf>
    <xf numFmtId="0" fontId="34" fillId="0" borderId="0" xfId="0" applyFont="1"/>
    <xf numFmtId="0" fontId="31" fillId="0" borderId="0" xfId="0" applyFont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0</xdr:row>
      <xdr:rowOff>0</xdr:rowOff>
    </xdr:from>
    <xdr:to>
      <xdr:col>3</xdr:col>
      <xdr:colOff>1466850</xdr:colOff>
      <xdr:row>0</xdr:row>
      <xdr:rowOff>409575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AECD73-3DDA-F544-F022-3C9997B4A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0" y="0"/>
          <a:ext cx="819150" cy="409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0</xdr:rowOff>
    </xdr:from>
    <xdr:to>
      <xdr:col>2</xdr:col>
      <xdr:colOff>1466850</xdr:colOff>
      <xdr:row>0</xdr:row>
      <xdr:rowOff>409575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D25BA7-4684-48CE-A98B-F9E1459C1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0" y="0"/>
          <a:ext cx="819150" cy="409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0</xdr:rowOff>
    </xdr:from>
    <xdr:to>
      <xdr:col>2</xdr:col>
      <xdr:colOff>1466850</xdr:colOff>
      <xdr:row>0</xdr:row>
      <xdr:rowOff>409575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BCC669-6BAF-44CA-AD97-85430D206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0" y="0"/>
          <a:ext cx="819150" cy="409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0</xdr:rowOff>
    </xdr:from>
    <xdr:to>
      <xdr:col>2</xdr:col>
      <xdr:colOff>1466850</xdr:colOff>
      <xdr:row>0</xdr:row>
      <xdr:rowOff>409575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40DF6C-A014-4196-8D70-F462A3EAB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350" y="0"/>
          <a:ext cx="819150" cy="409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0</xdr:rowOff>
    </xdr:from>
    <xdr:to>
      <xdr:col>2</xdr:col>
      <xdr:colOff>1466850</xdr:colOff>
      <xdr:row>0</xdr:row>
      <xdr:rowOff>409575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BEC21B-B003-48C6-9D33-B096FDAF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0"/>
          <a:ext cx="819150" cy="409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0</xdr:rowOff>
    </xdr:from>
    <xdr:to>
      <xdr:col>2</xdr:col>
      <xdr:colOff>1466850</xdr:colOff>
      <xdr:row>0</xdr:row>
      <xdr:rowOff>409575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AE6F2A-E2AB-4F43-9B19-61011E07C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0"/>
          <a:ext cx="819150" cy="4095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López" id="{B7FEDEDB-05DD-4DDB-B07D-07B46AF9327A}" userId="50a05b21d8f2fbda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6-23T18:16:37.28" personId="{B7FEDEDB-05DD-4DDB-B07D-07B46AF9327A}" id="{ECF9958F-B00C-45D0-8CF5-3274E04F8B67}">
    <text>Codigo Dependencia</text>
  </threadedComment>
  <threadedComment ref="L2" dT="2026-06-24T00:15:10.46" personId="{B7FEDEDB-05DD-4DDB-B07D-07B46AF9327A}" id="{EE1EAADB-8882-47C7-A1E9-446C6082AF01}">
    <text>Estados: 
Sin Documentar
No Requiere
En Estructuración
En borrador
Para revisión directiva
Para revisión de ........Iniciales
Aprobado </text>
  </threadedComment>
  <threadedComment ref="Q2" dT="2026-06-16T16:39:49.87" personId="{B7FEDEDB-05DD-4DDB-B07D-07B46AF9327A}" id="{0415FA6B-6FCC-4F2A-BFDB-326C3FE9B2F2}">
    <text>Se debe revisar la ubicación actual vs la proyectada</text>
  </threadedComment>
  <threadedComment ref="E46" dT="2026-06-24T00:19:47.26" personId="{B7FEDEDB-05DD-4DDB-B07D-07B46AF9327A}" id="{2CD6DE89-3FF8-48F7-8594-6282A3B26413}">
    <text>Revisar a que proceso pertenece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06-23T18:16:37.28" personId="{B7FEDEDB-05DD-4DDB-B07D-07B46AF9327A}" id="{6BF6A8A5-3CD2-4355-993B-7E00F3405FC5}">
    <text>Codigo Dependencia</text>
  </threadedComment>
  <threadedComment ref="L2" dT="2026-06-24T00:15:10.46" personId="{B7FEDEDB-05DD-4DDB-B07D-07B46AF9327A}" id="{E759EE3E-2E54-45F7-A80F-89388494C218}">
    <text>Estados: 
No Requiere
En Estructuración
En borrador
Para revisión directiva
Para revisión de ........Iniciales
Aprobado </text>
  </threadedComment>
  <threadedComment ref="Q2" dT="2026-06-16T16:39:49.87" personId="{B7FEDEDB-05DD-4DDB-B07D-07B46AF9327A}" id="{202FEF81-BD41-4F1A-B56E-E88E7E0437F0}">
    <text>Se debe revisar la ubicación actual vs la proyectada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6-06-23T18:16:37.28" personId="{B7FEDEDB-05DD-4DDB-B07D-07B46AF9327A}" id="{89FA9303-D9A4-472A-A020-E410C0A0618B}">
    <text>Codigo Dependencia</text>
  </threadedComment>
  <threadedComment ref="L2" dT="2026-06-24T00:15:10.46" personId="{B7FEDEDB-05DD-4DDB-B07D-07B46AF9327A}" id="{E5FD387F-2FEE-4DD4-95D0-5A3156C18CAB}">
    <text>Estados: 
No Requiere
En Estructuración
En borrador
Para revisión directiva
Para revisión de ........Iniciales
Aprobado </text>
  </threadedComment>
  <threadedComment ref="Q2" dT="2026-06-16T16:39:49.87" personId="{B7FEDEDB-05DD-4DDB-B07D-07B46AF9327A}" id="{D25585CC-EA83-448B-A18B-93A110805840}">
    <text>Se debe revisar la ubicación actual vs la proyectada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6-06-23T18:16:37.28" personId="{B7FEDEDB-05DD-4DDB-B07D-07B46AF9327A}" id="{6488C9BE-DD4A-4EE3-83A6-EB5B69A94068}">
    <text>Codigo Dependencia</text>
  </threadedComment>
  <threadedComment ref="L2" dT="2026-06-24T00:15:10.46" personId="{B7FEDEDB-05DD-4DDB-B07D-07B46AF9327A}" id="{E1F42956-290E-4E87-AC53-654963C3F5E2}">
    <text>Estados: 
No Requiere
En Estructuración
En borrador
Para revisión directiva
Para revisión de ........Iniciales
Aprobado </text>
  </threadedComment>
  <threadedComment ref="Q2" dT="2026-06-16T16:39:49.87" personId="{B7FEDEDB-05DD-4DDB-B07D-07B46AF9327A}" id="{3F3CC0F5-AF5E-4261-9133-CEAC9155C7F8}">
    <text>Se debe revisar la ubicación actual vs la proyectada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" dT="2026-06-23T18:16:37.28" personId="{B7FEDEDB-05DD-4DDB-B07D-07B46AF9327A}" id="{A2DC5DA5-A00C-4F68-A5AB-870156058927}">
    <text>Codigo Dependencia</text>
  </threadedComment>
  <threadedComment ref="L2" dT="2026-06-24T00:15:10.46" personId="{B7FEDEDB-05DD-4DDB-B07D-07B46AF9327A}" id="{4D9FDFE4-DDA0-4563-B9E2-4AAE649DC23E}">
    <text>Estados: 
No Requiere
En Estructuración
En borrador
Para revisión directiva
Para revisión de ........Iniciales
Aprobado </text>
  </threadedComment>
  <threadedComment ref="Q2" dT="2026-06-16T16:39:49.87" personId="{B7FEDEDB-05DD-4DDB-B07D-07B46AF9327A}" id="{547081B9-9874-41CB-BDB6-CDC0D39FF726}">
    <text>Se debe revisar la ubicación actual vs la proyectada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" dT="2026-06-23T18:16:37.28" personId="{B7FEDEDB-05DD-4DDB-B07D-07B46AF9327A}" id="{142456E9-88FE-43F2-8A32-8681D20E2D5B}">
    <text>Codigo Dependencia</text>
  </threadedComment>
  <threadedComment ref="L2" dT="2026-06-24T00:15:10.46" personId="{B7FEDEDB-05DD-4DDB-B07D-07B46AF9327A}" id="{EE8479FA-9F7C-4356-8428-C89CE5D80C36}">
    <text>Estados: 
No Requiere
En Estructuración
En borrador
Para revisión directiva
Para revisión de ........Iniciales
Aprobado </text>
  </threadedComment>
  <threadedComment ref="Q2" dT="2026-06-16T16:39:49.87" personId="{B7FEDEDB-05DD-4DDB-B07D-07B46AF9327A}" id="{5D07F68D-B0E6-4BDC-835A-ABCD10C9FEC9}">
    <text>Se debe revisar la ubicación actual vs la proyectada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FAD3-E9F3-4805-B1E3-B1FCAED32E91}">
  <dimension ref="A1:AM63"/>
  <sheetViews>
    <sheetView workbookViewId="0">
      <pane ySplit="2" topLeftCell="A3" activePane="bottomLeft" state="frozen"/>
      <selection pane="bottomLeft" activeCell="B63" sqref="B63"/>
    </sheetView>
  </sheetViews>
  <sheetFormatPr baseColWidth="10" defaultColWidth="9" defaultRowHeight="15"/>
  <cols>
    <col min="1" max="1" width="16.28515625" style="27" bestFit="1" customWidth="1"/>
    <col min="2" max="2" width="12" style="17" customWidth="1"/>
    <col min="3" max="3" width="33.140625" style="17" customWidth="1"/>
    <col min="4" max="4" width="28.5703125" style="31" customWidth="1"/>
    <col min="5" max="5" width="19.140625" style="45" customWidth="1"/>
    <col min="6" max="6" width="7.140625" style="56" customWidth="1"/>
    <col min="7" max="7" width="11.42578125" style="17" customWidth="1"/>
    <col min="8" max="8" width="13.7109375" style="17" customWidth="1"/>
    <col min="9" max="9" width="15.42578125" style="17" customWidth="1"/>
    <col min="10" max="10" width="12.5703125" style="17" bestFit="1" customWidth="1"/>
    <col min="11" max="11" width="13.85546875" style="17" customWidth="1"/>
    <col min="12" max="12" width="21" style="17" customWidth="1"/>
    <col min="13" max="13" width="21.140625" style="31" customWidth="1"/>
    <col min="14" max="14" width="12.85546875" style="17" customWidth="1"/>
    <col min="15" max="15" width="9.7109375" style="17" customWidth="1"/>
    <col min="16" max="16" width="26" style="62" customWidth="1"/>
    <col min="17" max="17" width="16" style="31" customWidth="1"/>
    <col min="18" max="18" width="17.85546875" style="45" customWidth="1"/>
    <col min="19" max="22" width="20.42578125" style="45" customWidth="1"/>
    <col min="23" max="23" width="36" style="17" bestFit="1" customWidth="1"/>
    <col min="24" max="24" width="9.42578125" style="17" bestFit="1" customWidth="1"/>
    <col min="25" max="25" width="9" style="17"/>
    <col min="26" max="26" width="2.7109375" style="17" bestFit="1" customWidth="1"/>
    <col min="27" max="16384" width="9" style="17"/>
  </cols>
  <sheetData>
    <row r="1" spans="1:39" ht="36" customHeight="1">
      <c r="C1" s="48" t="s">
        <v>3</v>
      </c>
      <c r="E1" s="45" t="s">
        <v>4</v>
      </c>
      <c r="F1" s="56">
        <v>1</v>
      </c>
      <c r="I1" s="31" t="s">
        <v>5</v>
      </c>
      <c r="L1" s="31" t="s">
        <v>6</v>
      </c>
      <c r="M1" s="54" t="s">
        <v>7</v>
      </c>
      <c r="N1" s="31" t="s">
        <v>8</v>
      </c>
      <c r="O1" s="31" t="s">
        <v>9</v>
      </c>
      <c r="U1" s="45" t="s">
        <v>10</v>
      </c>
    </row>
    <row r="2" spans="1:39" ht="34.5" customHeight="1">
      <c r="A2" s="49" t="s">
        <v>11</v>
      </c>
      <c r="B2" s="49" t="s">
        <v>12</v>
      </c>
      <c r="C2" s="50" t="s">
        <v>13</v>
      </c>
      <c r="D2" s="49" t="s">
        <v>14</v>
      </c>
      <c r="E2" s="49" t="s">
        <v>15</v>
      </c>
      <c r="F2" s="73" t="s">
        <v>16</v>
      </c>
      <c r="G2" s="67" t="s">
        <v>17</v>
      </c>
      <c r="H2" s="67" t="s">
        <v>18</v>
      </c>
      <c r="I2" s="67" t="s">
        <v>19</v>
      </c>
      <c r="J2" s="68" t="s">
        <v>20</v>
      </c>
      <c r="K2" s="68" t="s">
        <v>21</v>
      </c>
      <c r="L2" s="68" t="s">
        <v>22</v>
      </c>
      <c r="M2" s="67" t="s">
        <v>23</v>
      </c>
      <c r="N2" s="67" t="s">
        <v>24</v>
      </c>
      <c r="O2" s="67" t="s">
        <v>25</v>
      </c>
      <c r="P2" s="69" t="s">
        <v>26</v>
      </c>
      <c r="Q2" s="49" t="s">
        <v>27</v>
      </c>
      <c r="R2" s="53" t="s">
        <v>28</v>
      </c>
      <c r="S2" s="53" t="s">
        <v>29</v>
      </c>
      <c r="T2" s="53" t="s">
        <v>30</v>
      </c>
      <c r="U2" s="53" t="s">
        <v>31</v>
      </c>
      <c r="V2" s="53" t="s">
        <v>32</v>
      </c>
      <c r="W2" s="17" t="s">
        <v>33</v>
      </c>
    </row>
    <row r="3" spans="1:39" ht="60">
      <c r="A3" s="17" t="s">
        <v>34</v>
      </c>
      <c r="B3" s="28">
        <v>0</v>
      </c>
      <c r="C3" s="28" t="s">
        <v>35</v>
      </c>
      <c r="D3" s="29" t="s">
        <v>36</v>
      </c>
      <c r="E3" s="29" t="s">
        <v>37</v>
      </c>
      <c r="F3" s="57" t="s">
        <v>38</v>
      </c>
      <c r="G3" s="12">
        <v>46154</v>
      </c>
      <c r="H3" s="12">
        <v>46154</v>
      </c>
      <c r="I3" s="12">
        <v>46519</v>
      </c>
      <c r="J3" s="52">
        <f ca="1">IF(I3="","",I3-TODAY())</f>
        <v>313</v>
      </c>
      <c r="K3" s="52" t="str">
        <f ca="1">IF(I3="","",IF(I3&lt;TODAY(),"Vencido",IF(I3-TODAY()&lt;=30,"Próximo a vencer","Vigente")))</f>
        <v>Vigente</v>
      </c>
      <c r="L3" s="1" t="s">
        <v>39</v>
      </c>
      <c r="M3" s="21" t="s">
        <v>40</v>
      </c>
      <c r="N3" s="16"/>
      <c r="O3" s="16"/>
      <c r="P3" s="63"/>
      <c r="Q3" s="15" t="s">
        <v>41</v>
      </c>
      <c r="R3" s="29" t="s">
        <v>42</v>
      </c>
      <c r="S3" s="29" t="s">
        <v>43</v>
      </c>
      <c r="T3" s="29" t="s">
        <v>44</v>
      </c>
      <c r="U3" s="29"/>
      <c r="V3" s="2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 spans="1:39" ht="30">
      <c r="A4" s="17" t="s">
        <v>45</v>
      </c>
      <c r="B4" s="17" t="s">
        <v>46</v>
      </c>
      <c r="C4" s="17" t="s">
        <v>47</v>
      </c>
      <c r="D4" s="29" t="s">
        <v>48</v>
      </c>
      <c r="E4" s="29" t="s">
        <v>49</v>
      </c>
      <c r="F4" s="57"/>
      <c r="G4" s="12"/>
      <c r="H4" s="12"/>
      <c r="I4" s="12"/>
      <c r="J4" s="52" t="str">
        <f t="shared" ref="J4:J63" ca="1" si="0">IF(I4="","",I4-TODAY())</f>
        <v/>
      </c>
      <c r="K4" s="52" t="str">
        <f t="shared" ref="K4:K63" ca="1" si="1">IF(I4="","",IF(I4&lt;TODAY(),"Vencido",IF(I4-TODAY()&lt;=30,"Próximo a vencer","Vigente")))</f>
        <v/>
      </c>
      <c r="L4" s="17" t="s">
        <v>50</v>
      </c>
      <c r="M4" s="21" t="s">
        <v>51</v>
      </c>
      <c r="Q4" s="15" t="s">
        <v>52</v>
      </c>
      <c r="R4" s="29" t="s">
        <v>47</v>
      </c>
      <c r="S4" s="29" t="s">
        <v>42</v>
      </c>
      <c r="T4" s="29" t="s">
        <v>44</v>
      </c>
      <c r="U4" s="29"/>
      <c r="V4" s="29"/>
      <c r="Z4" s="17">
        <v>1</v>
      </c>
    </row>
    <row r="5" spans="1:39" ht="38.25">
      <c r="A5" s="17" t="s">
        <v>53</v>
      </c>
      <c r="B5" s="17" t="s">
        <v>54</v>
      </c>
      <c r="C5" s="17" t="s">
        <v>55</v>
      </c>
      <c r="D5" s="30" t="s">
        <v>56</v>
      </c>
      <c r="E5" s="51" t="s">
        <v>57</v>
      </c>
      <c r="F5" s="56">
        <v>1</v>
      </c>
      <c r="G5" s="12">
        <v>46204</v>
      </c>
      <c r="H5" s="87">
        <v>46204</v>
      </c>
      <c r="I5" s="12"/>
      <c r="J5" s="52" t="str">
        <f t="shared" ca="1" si="0"/>
        <v/>
      </c>
      <c r="K5" s="52" t="str">
        <f t="shared" ca="1" si="1"/>
        <v/>
      </c>
      <c r="L5" s="17" t="s">
        <v>58</v>
      </c>
      <c r="M5" s="21" t="s">
        <v>59</v>
      </c>
      <c r="N5" s="17" t="s">
        <v>60</v>
      </c>
      <c r="Q5" s="66" t="s">
        <v>61</v>
      </c>
      <c r="R5" s="51" t="s">
        <v>62</v>
      </c>
      <c r="S5" s="51" t="s">
        <v>63</v>
      </c>
      <c r="T5" s="29" t="s">
        <v>44</v>
      </c>
      <c r="U5" s="29"/>
      <c r="V5" s="29"/>
      <c r="W5" s="17" t="s">
        <v>64</v>
      </c>
      <c r="Z5" s="17">
        <v>2</v>
      </c>
    </row>
    <row r="6" spans="1:39" ht="30">
      <c r="A6" s="17" t="s">
        <v>65</v>
      </c>
      <c r="B6" s="17" t="s">
        <v>66</v>
      </c>
      <c r="C6" s="17" t="s">
        <v>67</v>
      </c>
      <c r="D6" s="30" t="s">
        <v>68</v>
      </c>
      <c r="E6" s="51" t="s">
        <v>69</v>
      </c>
      <c r="F6" s="56">
        <v>1</v>
      </c>
      <c r="G6" s="12">
        <v>46205</v>
      </c>
      <c r="H6" s="97">
        <v>46205</v>
      </c>
      <c r="I6" s="12"/>
      <c r="J6" s="52" t="str">
        <f t="shared" ca="1" si="0"/>
        <v/>
      </c>
      <c r="K6" s="52" t="str">
        <f t="shared" ca="1" si="1"/>
        <v/>
      </c>
      <c r="L6" s="17" t="s">
        <v>58</v>
      </c>
      <c r="M6" s="21" t="s">
        <v>70</v>
      </c>
      <c r="N6" s="17" t="s">
        <v>60</v>
      </c>
      <c r="Q6" s="31" t="s">
        <v>71</v>
      </c>
      <c r="R6" s="51" t="s">
        <v>72</v>
      </c>
      <c r="S6" s="51" t="s">
        <v>43</v>
      </c>
      <c r="T6" s="29" t="s">
        <v>44</v>
      </c>
      <c r="U6" s="29"/>
      <c r="V6" s="29"/>
      <c r="Z6" s="17">
        <v>3</v>
      </c>
    </row>
    <row r="7" spans="1:39" ht="45">
      <c r="A7" s="17" t="s">
        <v>73</v>
      </c>
      <c r="B7" s="17" t="s">
        <v>74</v>
      </c>
      <c r="C7" s="17" t="s">
        <v>75</v>
      </c>
      <c r="D7" s="30" t="s">
        <v>76</v>
      </c>
      <c r="E7" s="51" t="s">
        <v>77</v>
      </c>
      <c r="G7" s="12"/>
      <c r="H7" s="22"/>
      <c r="I7" s="12"/>
      <c r="J7" s="52" t="str">
        <f t="shared" ca="1" si="0"/>
        <v/>
      </c>
      <c r="K7" s="52" t="str">
        <f t="shared" ca="1" si="1"/>
        <v/>
      </c>
      <c r="L7" s="17" t="s">
        <v>50</v>
      </c>
      <c r="M7" s="21" t="s">
        <v>51</v>
      </c>
      <c r="Q7" s="31" t="s">
        <v>71</v>
      </c>
      <c r="R7" s="51" t="s">
        <v>78</v>
      </c>
      <c r="S7" s="51" t="s">
        <v>43</v>
      </c>
      <c r="T7" s="29" t="s">
        <v>44</v>
      </c>
      <c r="U7" s="29"/>
      <c r="V7" s="29"/>
      <c r="Z7" s="17">
        <v>4</v>
      </c>
    </row>
    <row r="8" spans="1:39" s="16" customFormat="1" ht="56.25">
      <c r="A8" s="16" t="s">
        <v>79</v>
      </c>
      <c r="B8" s="28">
        <v>1</v>
      </c>
      <c r="C8" s="34" t="s">
        <v>80</v>
      </c>
      <c r="D8" s="32" t="s">
        <v>81</v>
      </c>
      <c r="E8" s="51" t="s">
        <v>82</v>
      </c>
      <c r="F8" s="58"/>
      <c r="G8" s="23"/>
      <c r="H8" s="23"/>
      <c r="I8" s="12"/>
      <c r="J8" s="52" t="str">
        <f t="shared" ca="1" si="0"/>
        <v/>
      </c>
      <c r="K8" s="52" t="str">
        <f t="shared" ca="1" si="1"/>
        <v/>
      </c>
      <c r="L8" s="17" t="s">
        <v>50</v>
      </c>
      <c r="M8" s="21" t="s">
        <v>51</v>
      </c>
      <c r="P8" s="63"/>
      <c r="Q8" s="33" t="s">
        <v>83</v>
      </c>
      <c r="R8" s="51" t="s">
        <v>84</v>
      </c>
      <c r="S8" s="51" t="s">
        <v>43</v>
      </c>
      <c r="T8" s="29" t="s">
        <v>44</v>
      </c>
      <c r="U8" s="29"/>
      <c r="V8" s="29"/>
      <c r="Z8" s="17">
        <v>5</v>
      </c>
    </row>
    <row r="9" spans="1:39" ht="31.5">
      <c r="A9" s="17" t="s">
        <v>85</v>
      </c>
      <c r="B9" s="18" t="s">
        <v>86</v>
      </c>
      <c r="C9" s="34" t="s">
        <v>87</v>
      </c>
      <c r="D9" s="35" t="s">
        <v>88</v>
      </c>
      <c r="E9" s="51" t="s">
        <v>89</v>
      </c>
      <c r="F9" s="59"/>
      <c r="G9" s="24"/>
      <c r="H9" s="24"/>
      <c r="I9" s="12"/>
      <c r="J9" s="52" t="str">
        <f t="shared" ca="1" si="0"/>
        <v/>
      </c>
      <c r="K9" s="52" t="str">
        <f t="shared" ca="1" si="1"/>
        <v/>
      </c>
      <c r="L9" s="17" t="s">
        <v>50</v>
      </c>
      <c r="M9" s="21" t="s">
        <v>51</v>
      </c>
      <c r="N9" s="18"/>
      <c r="O9" s="18"/>
      <c r="P9" s="64"/>
      <c r="Q9" s="31" t="s">
        <v>71</v>
      </c>
      <c r="R9" s="51" t="s">
        <v>87</v>
      </c>
      <c r="S9" s="51" t="s">
        <v>84</v>
      </c>
      <c r="T9" s="29" t="s">
        <v>44</v>
      </c>
      <c r="U9" s="29"/>
      <c r="V9" s="29"/>
      <c r="W9" s="18"/>
      <c r="X9" s="18"/>
      <c r="Y9" s="18"/>
      <c r="Z9" s="17">
        <v>6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</row>
    <row r="10" spans="1:39" ht="45">
      <c r="A10" s="17" t="s">
        <v>90</v>
      </c>
      <c r="B10" s="18" t="s">
        <v>91</v>
      </c>
      <c r="C10" s="34" t="s">
        <v>92</v>
      </c>
      <c r="D10" s="29" t="s">
        <v>93</v>
      </c>
      <c r="E10" s="51" t="s">
        <v>94</v>
      </c>
      <c r="F10" s="57" t="s">
        <v>95</v>
      </c>
      <c r="G10" s="12">
        <v>46189</v>
      </c>
      <c r="H10" s="12"/>
      <c r="I10" s="12">
        <f>+G10+365</f>
        <v>46554</v>
      </c>
      <c r="J10" s="52">
        <f t="shared" ca="1" si="0"/>
        <v>348</v>
      </c>
      <c r="K10" s="52" t="str">
        <f t="shared" ca="1" si="1"/>
        <v>Vigente</v>
      </c>
      <c r="L10" s="55" t="s">
        <v>96</v>
      </c>
      <c r="M10" s="55" t="s">
        <v>97</v>
      </c>
      <c r="N10" s="18" t="s">
        <v>60</v>
      </c>
      <c r="O10" s="18" t="s">
        <v>98</v>
      </c>
      <c r="P10" s="64"/>
      <c r="Q10" s="31" t="s">
        <v>71</v>
      </c>
      <c r="R10" s="29" t="s">
        <v>99</v>
      </c>
      <c r="S10" s="29" t="s">
        <v>100</v>
      </c>
      <c r="T10" s="29" t="s">
        <v>44</v>
      </c>
      <c r="U10" s="29"/>
      <c r="V10" s="29"/>
      <c r="W10" s="18"/>
      <c r="X10" s="18"/>
      <c r="Y10" s="18"/>
      <c r="Z10" s="17">
        <v>7</v>
      </c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0">
      <c r="A11" s="17" t="s">
        <v>101</v>
      </c>
      <c r="B11" s="17" t="s">
        <v>102</v>
      </c>
      <c r="C11" s="17" t="s">
        <v>103</v>
      </c>
      <c r="D11" s="29" t="s">
        <v>104</v>
      </c>
      <c r="E11" s="29" t="s">
        <v>94</v>
      </c>
      <c r="F11" s="57" t="s">
        <v>95</v>
      </c>
      <c r="G11" s="12">
        <v>46150</v>
      </c>
      <c r="H11" s="12"/>
      <c r="I11" s="12"/>
      <c r="J11" s="52" t="str">
        <f t="shared" ca="1" si="0"/>
        <v/>
      </c>
      <c r="K11" s="52" t="str">
        <f t="shared" ca="1" si="1"/>
        <v/>
      </c>
      <c r="L11" s="17" t="s">
        <v>50</v>
      </c>
      <c r="M11" s="21" t="s">
        <v>105</v>
      </c>
      <c r="Q11" s="31" t="s">
        <v>71</v>
      </c>
      <c r="R11" s="29" t="s">
        <v>103</v>
      </c>
      <c r="S11" s="29" t="s">
        <v>106</v>
      </c>
      <c r="T11" s="29" t="s">
        <v>44</v>
      </c>
      <c r="U11" s="29"/>
      <c r="V11" s="29"/>
      <c r="Z11" s="17">
        <v>8</v>
      </c>
    </row>
    <row r="12" spans="1:39" ht="30">
      <c r="A12" s="17" t="s">
        <v>107</v>
      </c>
      <c r="B12" s="17" t="s">
        <v>108</v>
      </c>
      <c r="C12" s="17" t="s">
        <v>109</v>
      </c>
      <c r="D12" s="30" t="s">
        <v>110</v>
      </c>
      <c r="E12" s="29" t="s">
        <v>94</v>
      </c>
      <c r="G12" s="22"/>
      <c r="H12" s="22"/>
      <c r="I12" s="12"/>
      <c r="J12" s="52" t="str">
        <f t="shared" ca="1" si="0"/>
        <v/>
      </c>
      <c r="K12" s="52" t="str">
        <f t="shared" ca="1" si="1"/>
        <v/>
      </c>
      <c r="L12" s="17" t="s">
        <v>50</v>
      </c>
      <c r="M12" s="21" t="s">
        <v>51</v>
      </c>
      <c r="Q12" s="31" t="s">
        <v>71</v>
      </c>
      <c r="R12" s="51" t="s">
        <v>111</v>
      </c>
      <c r="S12" s="51" t="s">
        <v>106</v>
      </c>
      <c r="T12" s="29" t="s">
        <v>44</v>
      </c>
      <c r="U12" s="29"/>
      <c r="V12" s="29"/>
      <c r="Z12" s="17">
        <v>9</v>
      </c>
    </row>
    <row r="13" spans="1:39" ht="30">
      <c r="A13" s="17" t="s">
        <v>112</v>
      </c>
      <c r="B13" s="17" t="s">
        <v>113</v>
      </c>
      <c r="C13" s="17" t="s">
        <v>114</v>
      </c>
      <c r="D13" s="30" t="s">
        <v>115</v>
      </c>
      <c r="E13" s="29" t="s">
        <v>94</v>
      </c>
      <c r="G13" s="22"/>
      <c r="H13" s="22"/>
      <c r="I13" s="12"/>
      <c r="J13" s="52" t="str">
        <f t="shared" ca="1" si="0"/>
        <v/>
      </c>
      <c r="K13" s="52" t="str">
        <f t="shared" ca="1" si="1"/>
        <v/>
      </c>
      <c r="L13" s="17" t="s">
        <v>50</v>
      </c>
      <c r="M13" s="21" t="s">
        <v>51</v>
      </c>
      <c r="Q13" s="31" t="s">
        <v>116</v>
      </c>
      <c r="R13" s="51" t="s">
        <v>117</v>
      </c>
      <c r="S13" s="51" t="s">
        <v>118</v>
      </c>
      <c r="T13" s="29" t="s">
        <v>44</v>
      </c>
      <c r="U13" s="29"/>
      <c r="V13" s="29"/>
      <c r="Z13" s="17">
        <v>10</v>
      </c>
    </row>
    <row r="14" spans="1:39" ht="30">
      <c r="A14" s="17" t="s">
        <v>119</v>
      </c>
      <c r="B14" s="17" t="s">
        <v>120</v>
      </c>
      <c r="C14" s="17" t="s">
        <v>121</v>
      </c>
      <c r="D14" s="30" t="s">
        <v>122</v>
      </c>
      <c r="E14" s="51" t="s">
        <v>123</v>
      </c>
      <c r="G14" s="22"/>
      <c r="H14" s="22"/>
      <c r="I14" s="12"/>
      <c r="J14" s="52" t="str">
        <f t="shared" ca="1" si="0"/>
        <v/>
      </c>
      <c r="K14" s="52" t="str">
        <f t="shared" ca="1" si="1"/>
        <v/>
      </c>
      <c r="L14" s="17" t="s">
        <v>50</v>
      </c>
      <c r="M14" s="21" t="s">
        <v>124</v>
      </c>
      <c r="Q14" s="31" t="s">
        <v>125</v>
      </c>
      <c r="R14" s="51" t="s">
        <v>126</v>
      </c>
      <c r="S14" s="51" t="s">
        <v>106</v>
      </c>
      <c r="T14" s="29" t="s">
        <v>44</v>
      </c>
      <c r="U14" s="29"/>
      <c r="V14" s="29"/>
      <c r="Z14" s="17">
        <v>11</v>
      </c>
    </row>
    <row r="15" spans="1:39" s="18" customFormat="1" ht="40.5" customHeight="1">
      <c r="A15" s="18" t="s">
        <v>127</v>
      </c>
      <c r="B15" s="19" t="s">
        <v>128</v>
      </c>
      <c r="C15" s="34" t="s">
        <v>129</v>
      </c>
      <c r="D15" s="38" t="s">
        <v>129</v>
      </c>
      <c r="E15" s="38" t="s">
        <v>130</v>
      </c>
      <c r="F15" s="60" t="s">
        <v>95</v>
      </c>
      <c r="G15" s="14">
        <v>46189</v>
      </c>
      <c r="H15" s="14"/>
      <c r="I15" s="12">
        <f>+G15+365</f>
        <v>46554</v>
      </c>
      <c r="J15" s="52">
        <f t="shared" ca="1" si="0"/>
        <v>348</v>
      </c>
      <c r="K15" s="52" t="str">
        <f t="shared" ca="1" si="1"/>
        <v>Vigente</v>
      </c>
      <c r="L15" s="55" t="s">
        <v>96</v>
      </c>
      <c r="M15" s="98" t="s">
        <v>131</v>
      </c>
      <c r="N15" s="19" t="s">
        <v>132</v>
      </c>
      <c r="O15" s="19" t="s">
        <v>133</v>
      </c>
      <c r="P15" s="65"/>
      <c r="Q15" s="39" t="s">
        <v>134</v>
      </c>
      <c r="R15" s="38" t="s">
        <v>135</v>
      </c>
      <c r="S15" s="38" t="s">
        <v>84</v>
      </c>
      <c r="T15" s="29" t="s">
        <v>44</v>
      </c>
      <c r="U15" s="29"/>
      <c r="V15" s="29"/>
      <c r="W15" s="36"/>
      <c r="Z15" s="17">
        <v>12</v>
      </c>
    </row>
    <row r="16" spans="1:39" ht="30">
      <c r="A16" s="17" t="s">
        <v>136</v>
      </c>
      <c r="B16" s="17" t="s">
        <v>137</v>
      </c>
      <c r="C16" s="17" t="s">
        <v>138</v>
      </c>
      <c r="D16" s="40" t="s">
        <v>139</v>
      </c>
      <c r="E16" s="38" t="s">
        <v>130</v>
      </c>
      <c r="F16" s="61"/>
      <c r="G16" s="13"/>
      <c r="H16" s="13"/>
      <c r="I16" s="12"/>
      <c r="J16" s="52" t="str">
        <f t="shared" ca="1" si="0"/>
        <v/>
      </c>
      <c r="K16" s="52" t="str">
        <f t="shared" ca="1" si="1"/>
        <v/>
      </c>
      <c r="L16" s="17" t="s">
        <v>50</v>
      </c>
      <c r="M16" s="21" t="s">
        <v>51</v>
      </c>
      <c r="Q16" s="31" t="s">
        <v>71</v>
      </c>
      <c r="R16" s="40" t="s">
        <v>140</v>
      </c>
      <c r="S16" s="40" t="s">
        <v>135</v>
      </c>
      <c r="T16" s="29" t="s">
        <v>44</v>
      </c>
      <c r="U16" s="29"/>
      <c r="V16" s="29"/>
      <c r="Z16" s="17">
        <v>13</v>
      </c>
    </row>
    <row r="17" spans="1:39" ht="30">
      <c r="A17" s="17" t="s">
        <v>141</v>
      </c>
      <c r="B17" s="17" t="s">
        <v>142</v>
      </c>
      <c r="C17" s="17" t="s">
        <v>143</v>
      </c>
      <c r="D17" s="30" t="s">
        <v>144</v>
      </c>
      <c r="E17" s="51" t="s">
        <v>130</v>
      </c>
      <c r="G17" s="22"/>
      <c r="H17" s="22"/>
      <c r="I17" s="12"/>
      <c r="J17" s="52" t="str">
        <f t="shared" ca="1" si="0"/>
        <v/>
      </c>
      <c r="K17" s="52" t="str">
        <f t="shared" ca="1" si="1"/>
        <v/>
      </c>
      <c r="L17" s="17" t="s">
        <v>50</v>
      </c>
      <c r="M17" s="21" t="s">
        <v>51</v>
      </c>
      <c r="Q17" s="31" t="s">
        <v>71</v>
      </c>
      <c r="R17" s="51" t="s">
        <v>145</v>
      </c>
      <c r="S17" s="51" t="s">
        <v>140</v>
      </c>
      <c r="T17" s="29" t="s">
        <v>44</v>
      </c>
      <c r="U17" s="29"/>
      <c r="V17" s="29"/>
      <c r="Z17" s="17">
        <v>14</v>
      </c>
    </row>
    <row r="18" spans="1:39" ht="63">
      <c r="A18" s="17" t="s">
        <v>146</v>
      </c>
      <c r="B18" s="18" t="s">
        <v>147</v>
      </c>
      <c r="C18" s="34" t="s">
        <v>148</v>
      </c>
      <c r="D18" s="41" t="s">
        <v>149</v>
      </c>
      <c r="E18" s="41" t="s">
        <v>150</v>
      </c>
      <c r="F18" s="60">
        <v>1</v>
      </c>
      <c r="G18" s="14">
        <v>46189</v>
      </c>
      <c r="H18" s="14"/>
      <c r="I18" s="12">
        <f>+G18+365</f>
        <v>46554</v>
      </c>
      <c r="J18" s="52">
        <f t="shared" ca="1" si="0"/>
        <v>348</v>
      </c>
      <c r="K18" s="52" t="str">
        <f t="shared" ca="1" si="1"/>
        <v>Vigente</v>
      </c>
      <c r="L18" s="55" t="s">
        <v>96</v>
      </c>
      <c r="M18" s="99" t="s">
        <v>151</v>
      </c>
      <c r="N18" s="18" t="s">
        <v>132</v>
      </c>
      <c r="O18" s="19" t="s">
        <v>133</v>
      </c>
      <c r="P18" s="65"/>
      <c r="Q18" s="39" t="s">
        <v>152</v>
      </c>
      <c r="R18" s="41" t="s">
        <v>153</v>
      </c>
      <c r="S18" s="41" t="s">
        <v>84</v>
      </c>
      <c r="T18" s="29" t="s">
        <v>44</v>
      </c>
      <c r="U18" s="29"/>
      <c r="V18" s="29"/>
      <c r="W18" s="18"/>
      <c r="X18" s="18"/>
      <c r="Y18" s="18"/>
      <c r="Z18" s="17">
        <v>15</v>
      </c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0">
      <c r="A19" s="17" t="s">
        <v>154</v>
      </c>
      <c r="B19" s="17" t="s">
        <v>155</v>
      </c>
      <c r="C19" s="37" t="s">
        <v>156</v>
      </c>
      <c r="D19" s="29" t="s">
        <v>157</v>
      </c>
      <c r="E19" s="29" t="s">
        <v>150</v>
      </c>
      <c r="F19" s="59"/>
      <c r="G19" s="12"/>
      <c r="H19" s="12"/>
      <c r="I19" s="12"/>
      <c r="J19" s="52" t="str">
        <f t="shared" ca="1" si="0"/>
        <v/>
      </c>
      <c r="K19" s="52" t="str">
        <f t="shared" ca="1" si="1"/>
        <v/>
      </c>
      <c r="L19" s="17" t="s">
        <v>50</v>
      </c>
      <c r="M19" s="26" t="s">
        <v>51</v>
      </c>
      <c r="Q19" s="31" t="s">
        <v>71</v>
      </c>
      <c r="R19" s="29" t="s">
        <v>158</v>
      </c>
      <c r="S19" s="29" t="s">
        <v>153</v>
      </c>
      <c r="T19" s="29" t="s">
        <v>44</v>
      </c>
      <c r="U19" s="29"/>
      <c r="V19" s="29"/>
      <c r="Z19" s="17">
        <v>16</v>
      </c>
    </row>
    <row r="20" spans="1:39" ht="30">
      <c r="A20" s="17" t="s">
        <v>159</v>
      </c>
      <c r="B20" s="17" t="s">
        <v>160</v>
      </c>
      <c r="C20" s="17" t="s">
        <v>161</v>
      </c>
      <c r="D20" s="30"/>
      <c r="E20" s="51" t="s">
        <v>150</v>
      </c>
      <c r="G20" s="22"/>
      <c r="H20" s="22"/>
      <c r="I20" s="12"/>
      <c r="J20" s="52" t="str">
        <f t="shared" ca="1" si="0"/>
        <v/>
      </c>
      <c r="K20" s="52" t="str">
        <f t="shared" ca="1" si="1"/>
        <v/>
      </c>
      <c r="L20" s="17" t="s">
        <v>50</v>
      </c>
      <c r="M20" s="21" t="s">
        <v>51</v>
      </c>
      <c r="Q20" s="31" t="s">
        <v>71</v>
      </c>
      <c r="R20" s="51" t="s">
        <v>162</v>
      </c>
      <c r="S20" s="51" t="s">
        <v>158</v>
      </c>
      <c r="T20" s="29" t="s">
        <v>44</v>
      </c>
      <c r="U20" s="29"/>
      <c r="V20" s="29"/>
      <c r="Z20" s="17">
        <v>17</v>
      </c>
    </row>
    <row r="21" spans="1:39" ht="30">
      <c r="A21" s="17" t="s">
        <v>163</v>
      </c>
      <c r="B21" s="20" t="s">
        <v>164</v>
      </c>
      <c r="C21" s="42" t="s">
        <v>165</v>
      </c>
      <c r="D21" s="43" t="s">
        <v>166</v>
      </c>
      <c r="E21" s="43" t="s">
        <v>167</v>
      </c>
      <c r="F21" s="60" t="s">
        <v>95</v>
      </c>
      <c r="G21" s="14">
        <v>46192</v>
      </c>
      <c r="H21" s="24"/>
      <c r="I21" s="12">
        <f>+G21+365</f>
        <v>46557</v>
      </c>
      <c r="J21" s="52">
        <f t="shared" ca="1" si="0"/>
        <v>351</v>
      </c>
      <c r="K21" s="52" t="str">
        <f t="shared" ca="1" si="1"/>
        <v>Vigente</v>
      </c>
      <c r="L21" s="55" t="s">
        <v>96</v>
      </c>
      <c r="M21" s="100" t="s">
        <v>168</v>
      </c>
      <c r="N21" s="20" t="s">
        <v>132</v>
      </c>
      <c r="O21" s="19" t="s">
        <v>133</v>
      </c>
      <c r="P21" s="65"/>
      <c r="Q21" s="44" t="s">
        <v>169</v>
      </c>
      <c r="R21" s="43" t="s">
        <v>170</v>
      </c>
      <c r="S21" s="43" t="s">
        <v>84</v>
      </c>
      <c r="T21" s="29" t="s">
        <v>44</v>
      </c>
      <c r="U21" s="29"/>
      <c r="V21" s="29"/>
      <c r="W21" s="24"/>
      <c r="X21" s="18"/>
      <c r="Y21" s="18"/>
      <c r="Z21" s="17">
        <v>18</v>
      </c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56.25">
      <c r="A22" s="17" t="s">
        <v>171</v>
      </c>
      <c r="B22" s="84" t="s">
        <v>172</v>
      </c>
      <c r="C22" s="84" t="s">
        <v>173</v>
      </c>
      <c r="D22" s="83" t="s">
        <v>174</v>
      </c>
      <c r="E22" s="83" t="s">
        <v>167</v>
      </c>
      <c r="F22" s="57" t="s">
        <v>38</v>
      </c>
      <c r="G22" s="12">
        <v>46122</v>
      </c>
      <c r="H22" s="12"/>
      <c r="I22" s="12">
        <f>+G22+365</f>
        <v>46487</v>
      </c>
      <c r="J22" s="52">
        <f t="shared" ca="1" si="0"/>
        <v>281</v>
      </c>
      <c r="K22" s="52" t="str">
        <f t="shared" ca="1" si="1"/>
        <v>Vigente</v>
      </c>
      <c r="L22" s="11" t="s">
        <v>39</v>
      </c>
      <c r="M22" s="21" t="s">
        <v>175</v>
      </c>
      <c r="Q22" s="31" t="s">
        <v>176</v>
      </c>
      <c r="R22" s="29" t="s">
        <v>177</v>
      </c>
      <c r="S22" s="29" t="s">
        <v>170</v>
      </c>
      <c r="T22" s="29" t="s">
        <v>44</v>
      </c>
      <c r="U22" s="29"/>
      <c r="V22" s="29"/>
      <c r="Z22" s="17">
        <v>19</v>
      </c>
    </row>
    <row r="23" spans="1:39" ht="30">
      <c r="A23" s="17" t="s">
        <v>178</v>
      </c>
      <c r="B23" s="17" t="s">
        <v>179</v>
      </c>
      <c r="C23" s="17" t="s">
        <v>180</v>
      </c>
      <c r="D23" s="30" t="s">
        <v>181</v>
      </c>
      <c r="E23" s="51" t="s">
        <v>167</v>
      </c>
      <c r="G23" s="22"/>
      <c r="H23" s="22"/>
      <c r="I23" s="12"/>
      <c r="J23" s="52" t="str">
        <f t="shared" ca="1" si="0"/>
        <v/>
      </c>
      <c r="K23" s="52" t="str">
        <f t="shared" ca="1" si="1"/>
        <v/>
      </c>
      <c r="L23" s="17" t="s">
        <v>50</v>
      </c>
      <c r="M23" s="21" t="s">
        <v>51</v>
      </c>
      <c r="Q23" s="31" t="s">
        <v>71</v>
      </c>
      <c r="R23" s="51" t="s">
        <v>182</v>
      </c>
      <c r="S23" s="51" t="s">
        <v>183</v>
      </c>
      <c r="T23" s="29" t="s">
        <v>44</v>
      </c>
      <c r="U23" s="29"/>
      <c r="V23" s="29"/>
      <c r="Z23" s="17">
        <v>20</v>
      </c>
    </row>
    <row r="24" spans="1:39" ht="47.25">
      <c r="A24" s="17" t="s">
        <v>184</v>
      </c>
      <c r="B24" s="18" t="s">
        <v>185</v>
      </c>
      <c r="C24" s="34" t="s">
        <v>186</v>
      </c>
      <c r="D24" s="35" t="s">
        <v>187</v>
      </c>
      <c r="E24" s="51" t="s">
        <v>188</v>
      </c>
      <c r="F24" s="59"/>
      <c r="G24" s="24"/>
      <c r="H24" s="24"/>
      <c r="I24" s="12"/>
      <c r="J24" s="52" t="str">
        <f t="shared" ca="1" si="0"/>
        <v/>
      </c>
      <c r="K24" s="52" t="str">
        <f t="shared" ca="1" si="1"/>
        <v/>
      </c>
      <c r="L24" s="17" t="s">
        <v>50</v>
      </c>
      <c r="M24" s="21" t="s">
        <v>51</v>
      </c>
      <c r="N24" s="18"/>
      <c r="O24" s="18"/>
      <c r="P24" s="64"/>
      <c r="Q24" s="31" t="s">
        <v>71</v>
      </c>
      <c r="R24" s="51" t="s">
        <v>189</v>
      </c>
      <c r="S24" s="51" t="s">
        <v>84</v>
      </c>
      <c r="T24" s="29" t="s">
        <v>44</v>
      </c>
      <c r="U24" s="29"/>
      <c r="V24" s="29"/>
      <c r="W24" s="18"/>
      <c r="X24" s="18"/>
      <c r="Y24" s="18"/>
      <c r="Z24" s="17">
        <v>21</v>
      </c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0">
      <c r="A25" s="17" t="s">
        <v>190</v>
      </c>
      <c r="B25" s="17" t="s">
        <v>191</v>
      </c>
      <c r="C25" s="17" t="s">
        <v>192</v>
      </c>
      <c r="D25" s="30" t="s">
        <v>193</v>
      </c>
      <c r="E25" s="51" t="s">
        <v>188</v>
      </c>
      <c r="G25" s="22"/>
      <c r="H25" s="22"/>
      <c r="I25" s="12"/>
      <c r="J25" s="52" t="str">
        <f t="shared" ca="1" si="0"/>
        <v/>
      </c>
      <c r="K25" s="52" t="str">
        <f t="shared" ca="1" si="1"/>
        <v/>
      </c>
      <c r="L25" s="17" t="s">
        <v>50</v>
      </c>
      <c r="M25" s="21" t="s">
        <v>51</v>
      </c>
      <c r="Q25" s="31" t="s">
        <v>71</v>
      </c>
      <c r="R25" s="51" t="s">
        <v>194</v>
      </c>
      <c r="S25" s="51" t="s">
        <v>189</v>
      </c>
      <c r="T25" s="29" t="s">
        <v>44</v>
      </c>
      <c r="U25" s="29"/>
      <c r="V25" s="29"/>
      <c r="Z25" s="17">
        <v>22</v>
      </c>
    </row>
    <row r="26" spans="1:39" ht="33.75">
      <c r="A26" s="17" t="s">
        <v>195</v>
      </c>
      <c r="B26" s="18" t="s">
        <v>196</v>
      </c>
      <c r="C26" s="34" t="s">
        <v>197</v>
      </c>
      <c r="D26" s="29" t="s">
        <v>198</v>
      </c>
      <c r="E26" s="29" t="s">
        <v>199</v>
      </c>
      <c r="F26" s="57" t="s">
        <v>95</v>
      </c>
      <c r="G26" s="14">
        <v>46196</v>
      </c>
      <c r="H26" s="24"/>
      <c r="I26" s="12">
        <f>+G26+365</f>
        <v>46561</v>
      </c>
      <c r="J26" s="52">
        <f t="shared" ca="1" si="0"/>
        <v>355</v>
      </c>
      <c r="K26" s="52" t="str">
        <f t="shared" ca="1" si="1"/>
        <v>Vigente</v>
      </c>
      <c r="L26" s="55" t="s">
        <v>96</v>
      </c>
      <c r="M26" s="21" t="s">
        <v>200</v>
      </c>
      <c r="N26" s="18" t="s">
        <v>132</v>
      </c>
      <c r="O26" s="18" t="s">
        <v>133</v>
      </c>
      <c r="P26" s="64"/>
      <c r="Q26" s="31" t="s">
        <v>71</v>
      </c>
      <c r="R26" s="29" t="s">
        <v>197</v>
      </c>
      <c r="S26" s="29" t="s">
        <v>201</v>
      </c>
      <c r="T26" s="29" t="s">
        <v>44</v>
      </c>
      <c r="U26" s="29"/>
      <c r="V26" s="29"/>
      <c r="W26" s="18"/>
      <c r="X26" s="18"/>
      <c r="Y26" s="18"/>
      <c r="Z26" s="17">
        <v>23</v>
      </c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0">
      <c r="A27" s="17" t="s">
        <v>202</v>
      </c>
      <c r="B27" s="17" t="s">
        <v>203</v>
      </c>
      <c r="C27" s="17" t="s">
        <v>204</v>
      </c>
      <c r="D27" s="29" t="s">
        <v>205</v>
      </c>
      <c r="E27" s="29" t="s">
        <v>199</v>
      </c>
      <c r="F27" s="57" t="s">
        <v>95</v>
      </c>
      <c r="G27" s="12">
        <v>46156</v>
      </c>
      <c r="H27" s="12"/>
      <c r="I27" s="12"/>
      <c r="J27" s="52" t="str">
        <f t="shared" ca="1" si="0"/>
        <v/>
      </c>
      <c r="K27" s="52" t="str">
        <f t="shared" ca="1" si="1"/>
        <v/>
      </c>
      <c r="L27" s="17" t="s">
        <v>50</v>
      </c>
      <c r="M27" s="21" t="s">
        <v>206</v>
      </c>
      <c r="Q27" s="31" t="s">
        <v>207</v>
      </c>
      <c r="R27" s="29" t="s">
        <v>208</v>
      </c>
      <c r="S27" s="29" t="s">
        <v>197</v>
      </c>
      <c r="T27" s="29" t="s">
        <v>44</v>
      </c>
      <c r="U27" s="29"/>
      <c r="V27" s="29"/>
      <c r="Z27" s="17">
        <v>24</v>
      </c>
    </row>
    <row r="28" spans="1:39" ht="31.5">
      <c r="A28" s="17" t="s">
        <v>209</v>
      </c>
      <c r="B28" s="18" t="s">
        <v>210</v>
      </c>
      <c r="C28" s="34" t="s">
        <v>211</v>
      </c>
      <c r="D28" s="35" t="s">
        <v>212</v>
      </c>
      <c r="E28" s="51" t="s">
        <v>213</v>
      </c>
      <c r="F28" s="57" t="s">
        <v>95</v>
      </c>
      <c r="G28" s="14">
        <v>46196</v>
      </c>
      <c r="H28" s="24"/>
      <c r="I28" s="12">
        <f>+G28+365</f>
        <v>46561</v>
      </c>
      <c r="J28" s="52">
        <f t="shared" ca="1" si="0"/>
        <v>355</v>
      </c>
      <c r="K28" s="52" t="str">
        <f t="shared" ca="1" si="1"/>
        <v>Vigente</v>
      </c>
      <c r="L28" s="55" t="s">
        <v>96</v>
      </c>
      <c r="M28" s="21" t="s">
        <v>214</v>
      </c>
      <c r="N28" s="18" t="s">
        <v>132</v>
      </c>
      <c r="O28" s="18" t="s">
        <v>133</v>
      </c>
      <c r="P28" s="64"/>
      <c r="Q28" s="31" t="s">
        <v>71</v>
      </c>
      <c r="R28" s="51" t="s">
        <v>211</v>
      </c>
      <c r="S28" s="51" t="s">
        <v>84</v>
      </c>
      <c r="T28" s="29" t="s">
        <v>44</v>
      </c>
      <c r="U28" s="29"/>
      <c r="V28" s="29"/>
      <c r="W28" s="18"/>
      <c r="X28" s="18"/>
      <c r="Y28" s="18"/>
      <c r="Z28" s="17">
        <v>25</v>
      </c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0">
      <c r="A29" s="17" t="s">
        <v>215</v>
      </c>
      <c r="B29" s="17" t="s">
        <v>216</v>
      </c>
      <c r="C29" s="17" t="s">
        <v>217</v>
      </c>
      <c r="D29" s="30" t="s">
        <v>218</v>
      </c>
      <c r="E29" s="51" t="s">
        <v>213</v>
      </c>
      <c r="G29" s="22"/>
      <c r="H29" s="22"/>
      <c r="I29" s="12"/>
      <c r="J29" s="52" t="str">
        <f t="shared" ca="1" si="0"/>
        <v/>
      </c>
      <c r="K29" s="52" t="str">
        <f t="shared" ca="1" si="1"/>
        <v/>
      </c>
      <c r="L29" s="17" t="s">
        <v>58</v>
      </c>
      <c r="M29" s="21" t="s">
        <v>51</v>
      </c>
      <c r="Q29" s="31" t="s">
        <v>71</v>
      </c>
      <c r="R29" s="51" t="s">
        <v>219</v>
      </c>
      <c r="S29" s="51" t="s">
        <v>211</v>
      </c>
      <c r="T29" s="29" t="s">
        <v>44</v>
      </c>
      <c r="U29" s="29"/>
      <c r="V29" s="29"/>
      <c r="Z29" s="17">
        <v>26</v>
      </c>
    </row>
    <row r="30" spans="1:39" ht="30">
      <c r="A30" s="17" t="s">
        <v>220</v>
      </c>
      <c r="B30" s="17" t="s">
        <v>221</v>
      </c>
      <c r="C30" s="17" t="s">
        <v>222</v>
      </c>
      <c r="D30" s="30" t="s">
        <v>223</v>
      </c>
      <c r="E30" s="51" t="s">
        <v>213</v>
      </c>
      <c r="G30" s="22"/>
      <c r="H30" s="22"/>
      <c r="I30" s="12"/>
      <c r="J30" s="52" t="str">
        <f t="shared" ca="1" si="0"/>
        <v/>
      </c>
      <c r="K30" s="52" t="str">
        <f t="shared" ca="1" si="1"/>
        <v/>
      </c>
      <c r="L30" s="17" t="s">
        <v>58</v>
      </c>
      <c r="M30" s="21" t="s">
        <v>51</v>
      </c>
      <c r="Q30" s="31" t="s">
        <v>71</v>
      </c>
      <c r="R30" s="51" t="s">
        <v>224</v>
      </c>
      <c r="S30" s="51" t="s">
        <v>211</v>
      </c>
      <c r="T30" s="29" t="s">
        <v>44</v>
      </c>
      <c r="U30" s="29"/>
      <c r="V30" s="29"/>
      <c r="Z30" s="17">
        <v>27</v>
      </c>
    </row>
    <row r="31" spans="1:39" ht="45">
      <c r="A31" s="17" t="s">
        <v>225</v>
      </c>
      <c r="B31" s="28">
        <v>2</v>
      </c>
      <c r="C31" s="28" t="s">
        <v>226</v>
      </c>
      <c r="D31" s="29" t="s">
        <v>227</v>
      </c>
      <c r="E31" s="29" t="s">
        <v>228</v>
      </c>
      <c r="F31" s="57" t="s">
        <v>95</v>
      </c>
      <c r="G31" s="12">
        <v>46198</v>
      </c>
      <c r="H31" s="12"/>
      <c r="I31" s="12">
        <f t="shared" ref="I31:I46" si="2">+G31+365</f>
        <v>46563</v>
      </c>
      <c r="J31" s="52">
        <f t="shared" ca="1" si="0"/>
        <v>357</v>
      </c>
      <c r="K31" s="52" t="str">
        <f t="shared" ca="1" si="1"/>
        <v>Vigente</v>
      </c>
      <c r="L31" s="55" t="s">
        <v>96</v>
      </c>
      <c r="M31" s="21" t="s">
        <v>229</v>
      </c>
      <c r="N31" s="18" t="s">
        <v>132</v>
      </c>
      <c r="O31" s="18" t="s">
        <v>133</v>
      </c>
      <c r="P31" s="63"/>
      <c r="Q31" s="31" t="s">
        <v>230</v>
      </c>
      <c r="R31" s="29" t="s">
        <v>231</v>
      </c>
      <c r="S31" s="29" t="s">
        <v>43</v>
      </c>
      <c r="T31" s="29" t="s">
        <v>44</v>
      </c>
      <c r="U31" s="29"/>
      <c r="V31" s="29"/>
      <c r="W31" s="16" t="s">
        <v>232</v>
      </c>
      <c r="X31" s="16"/>
      <c r="Y31" s="16"/>
      <c r="Z31" s="17">
        <v>28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</row>
    <row r="32" spans="1:39" ht="33.75">
      <c r="A32" s="17" t="s">
        <v>233</v>
      </c>
      <c r="B32" s="18" t="s">
        <v>234</v>
      </c>
      <c r="C32" s="34" t="s">
        <v>235</v>
      </c>
      <c r="D32" s="29" t="s">
        <v>236</v>
      </c>
      <c r="E32" s="29" t="s">
        <v>228</v>
      </c>
      <c r="F32" s="57" t="s">
        <v>38</v>
      </c>
      <c r="G32" s="12">
        <v>46198</v>
      </c>
      <c r="H32" s="12"/>
      <c r="I32" s="12">
        <f t="shared" si="2"/>
        <v>46563</v>
      </c>
      <c r="J32" s="52">
        <f t="shared" ca="1" si="0"/>
        <v>357</v>
      </c>
      <c r="K32" s="52" t="str">
        <f t="shared" ca="1" si="1"/>
        <v>Vigente</v>
      </c>
      <c r="L32" s="55" t="s">
        <v>96</v>
      </c>
      <c r="M32" s="21" t="s">
        <v>237</v>
      </c>
      <c r="N32" s="18" t="s">
        <v>132</v>
      </c>
      <c r="O32" s="18" t="s">
        <v>133</v>
      </c>
      <c r="P32" s="64"/>
      <c r="Q32" s="36" t="s">
        <v>238</v>
      </c>
      <c r="R32" s="29" t="s">
        <v>239</v>
      </c>
      <c r="S32" s="29" t="s">
        <v>231</v>
      </c>
      <c r="T32" s="29" t="s">
        <v>44</v>
      </c>
      <c r="U32" s="29"/>
      <c r="V32" s="29"/>
      <c r="W32" s="18" t="s">
        <v>232</v>
      </c>
      <c r="X32" s="18"/>
      <c r="Y32" s="18"/>
      <c r="Z32" s="17">
        <v>29</v>
      </c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45">
      <c r="A33" s="17" t="s">
        <v>240</v>
      </c>
      <c r="B33" s="17" t="s">
        <v>241</v>
      </c>
      <c r="C33" s="17" t="s">
        <v>242</v>
      </c>
      <c r="D33" s="31" t="s">
        <v>243</v>
      </c>
      <c r="E33" s="45" t="s">
        <v>228</v>
      </c>
      <c r="I33" s="12"/>
      <c r="J33" s="52" t="str">
        <f t="shared" ca="1" si="0"/>
        <v/>
      </c>
      <c r="K33" s="52" t="str">
        <f t="shared" ca="1" si="1"/>
        <v/>
      </c>
      <c r="L33" s="17" t="s">
        <v>50</v>
      </c>
      <c r="M33" s="21" t="s">
        <v>51</v>
      </c>
      <c r="Q33" s="31" t="s">
        <v>244</v>
      </c>
      <c r="R33" s="45" t="s">
        <v>245</v>
      </c>
      <c r="S33" s="45" t="s">
        <v>239</v>
      </c>
      <c r="T33" s="29" t="s">
        <v>44</v>
      </c>
      <c r="U33" s="29"/>
      <c r="V33" s="29"/>
      <c r="W33" s="17" t="s">
        <v>232</v>
      </c>
      <c r="Z33" s="17">
        <v>30</v>
      </c>
    </row>
    <row r="34" spans="1:39" ht="30">
      <c r="A34" s="17" t="s">
        <v>246</v>
      </c>
      <c r="B34" s="17" t="s">
        <v>247</v>
      </c>
      <c r="C34" s="17" t="s">
        <v>248</v>
      </c>
      <c r="D34" s="31" t="s">
        <v>249</v>
      </c>
      <c r="E34" s="45" t="s">
        <v>228</v>
      </c>
      <c r="I34" s="12"/>
      <c r="J34" s="52" t="str">
        <f t="shared" ca="1" si="0"/>
        <v/>
      </c>
      <c r="K34" s="52" t="str">
        <f t="shared" ca="1" si="1"/>
        <v/>
      </c>
      <c r="L34" s="17" t="s">
        <v>50</v>
      </c>
      <c r="M34" s="21" t="s">
        <v>51</v>
      </c>
      <c r="Q34" s="31" t="s">
        <v>71</v>
      </c>
      <c r="R34" s="45" t="s">
        <v>250</v>
      </c>
      <c r="S34" s="45" t="s">
        <v>239</v>
      </c>
      <c r="T34" s="29" t="s">
        <v>44</v>
      </c>
      <c r="U34" s="29"/>
      <c r="V34" s="29"/>
      <c r="W34" s="17" t="s">
        <v>232</v>
      </c>
      <c r="Z34" s="17">
        <v>31</v>
      </c>
    </row>
    <row r="35" spans="1:39" ht="33.75">
      <c r="A35" s="17" t="s">
        <v>251</v>
      </c>
      <c r="B35" s="17" t="s">
        <v>252</v>
      </c>
      <c r="C35" s="17" t="s">
        <v>253</v>
      </c>
      <c r="D35" s="29" t="s">
        <v>254</v>
      </c>
      <c r="E35" s="29" t="s">
        <v>228</v>
      </c>
      <c r="F35" s="57" t="s">
        <v>38</v>
      </c>
      <c r="G35" s="12">
        <v>46156</v>
      </c>
      <c r="H35" s="12"/>
      <c r="I35" s="12"/>
      <c r="J35" s="52" t="str">
        <f t="shared" ca="1" si="0"/>
        <v/>
      </c>
      <c r="K35" s="52" t="str">
        <f t="shared" ca="1" si="1"/>
        <v/>
      </c>
      <c r="L35" s="1" t="s">
        <v>39</v>
      </c>
      <c r="M35" s="21" t="s">
        <v>255</v>
      </c>
      <c r="Q35" s="31" t="s">
        <v>256</v>
      </c>
      <c r="R35" s="29" t="s">
        <v>257</v>
      </c>
      <c r="S35" s="29" t="s">
        <v>250</v>
      </c>
      <c r="T35" s="29" t="s">
        <v>44</v>
      </c>
      <c r="U35" s="29"/>
      <c r="V35" s="29"/>
      <c r="W35" s="17" t="s">
        <v>232</v>
      </c>
      <c r="Z35" s="17">
        <v>32</v>
      </c>
    </row>
    <row r="36" spans="1:39" ht="33.75">
      <c r="A36" s="17" t="s">
        <v>258</v>
      </c>
      <c r="B36" s="17" t="s">
        <v>259</v>
      </c>
      <c r="C36" s="17" t="s">
        <v>260</v>
      </c>
      <c r="D36" s="29" t="s">
        <v>261</v>
      </c>
      <c r="E36" s="29" t="s">
        <v>228</v>
      </c>
      <c r="F36" s="57" t="s">
        <v>38</v>
      </c>
      <c r="G36" s="12">
        <v>46152</v>
      </c>
      <c r="H36" s="12"/>
      <c r="I36" s="12"/>
      <c r="J36" s="52" t="str">
        <f t="shared" ca="1" si="0"/>
        <v/>
      </c>
      <c r="K36" s="52" t="str">
        <f t="shared" ca="1" si="1"/>
        <v/>
      </c>
      <c r="L36" s="1" t="s">
        <v>39</v>
      </c>
      <c r="M36" s="21" t="s">
        <v>255</v>
      </c>
      <c r="Q36" s="31" t="s">
        <v>256</v>
      </c>
      <c r="R36" s="29" t="s">
        <v>1</v>
      </c>
      <c r="S36" s="29" t="s">
        <v>250</v>
      </c>
      <c r="T36" s="29" t="s">
        <v>44</v>
      </c>
      <c r="U36" s="29"/>
      <c r="V36" s="29"/>
      <c r="W36" s="17" t="s">
        <v>232</v>
      </c>
      <c r="Z36" s="17">
        <v>33</v>
      </c>
    </row>
    <row r="37" spans="1:39" ht="30">
      <c r="A37" s="17" t="s">
        <v>262</v>
      </c>
      <c r="B37" s="17" t="s">
        <v>263</v>
      </c>
      <c r="C37" s="17" t="s">
        <v>264</v>
      </c>
      <c r="D37" s="31" t="s">
        <v>265</v>
      </c>
      <c r="E37" s="45" t="s">
        <v>228</v>
      </c>
      <c r="I37" s="12"/>
      <c r="J37" s="52" t="str">
        <f t="shared" ca="1" si="0"/>
        <v/>
      </c>
      <c r="K37" s="52" t="str">
        <f t="shared" ca="1" si="1"/>
        <v/>
      </c>
      <c r="L37" s="17" t="s">
        <v>50</v>
      </c>
      <c r="M37" s="21" t="s">
        <v>51</v>
      </c>
      <c r="Q37" s="31" t="s">
        <v>71</v>
      </c>
      <c r="R37" s="45" t="s">
        <v>266</v>
      </c>
      <c r="S37" s="45" t="s">
        <v>239</v>
      </c>
      <c r="T37" s="29" t="s">
        <v>44</v>
      </c>
      <c r="U37" s="29"/>
      <c r="V37" s="29"/>
      <c r="Z37" s="17">
        <v>34</v>
      </c>
    </row>
    <row r="38" spans="1:39" ht="30">
      <c r="A38" s="17" t="s">
        <v>267</v>
      </c>
      <c r="B38" s="17" t="s">
        <v>268</v>
      </c>
      <c r="C38" s="17" t="s">
        <v>269</v>
      </c>
      <c r="D38" s="31" t="s">
        <v>270</v>
      </c>
      <c r="E38" s="45" t="s">
        <v>228</v>
      </c>
      <c r="I38" s="12"/>
      <c r="J38" s="52" t="str">
        <f t="shared" ca="1" si="0"/>
        <v/>
      </c>
      <c r="K38" s="52" t="str">
        <f t="shared" ca="1" si="1"/>
        <v/>
      </c>
      <c r="L38" s="17" t="s">
        <v>50</v>
      </c>
      <c r="M38" s="21" t="s">
        <v>51</v>
      </c>
      <c r="Q38" s="31" t="s">
        <v>71</v>
      </c>
      <c r="R38" s="45" t="s">
        <v>269</v>
      </c>
      <c r="S38" s="45" t="s">
        <v>239</v>
      </c>
      <c r="T38" s="29" t="s">
        <v>44</v>
      </c>
      <c r="U38" s="29"/>
      <c r="V38" s="29"/>
      <c r="W38" s="17" t="s">
        <v>232</v>
      </c>
      <c r="Z38" s="17">
        <v>35</v>
      </c>
    </row>
    <row r="39" spans="1:39" ht="30">
      <c r="A39" s="17" t="s">
        <v>271</v>
      </c>
      <c r="B39" s="17" t="s">
        <v>272</v>
      </c>
      <c r="C39" s="17" t="s">
        <v>273</v>
      </c>
      <c r="D39" s="31" t="s">
        <v>274</v>
      </c>
      <c r="E39" s="45" t="s">
        <v>228</v>
      </c>
      <c r="I39" s="12"/>
      <c r="J39" s="52" t="str">
        <f t="shared" ca="1" si="0"/>
        <v/>
      </c>
      <c r="K39" s="52" t="str">
        <f t="shared" ca="1" si="1"/>
        <v/>
      </c>
      <c r="L39" s="17" t="s">
        <v>50</v>
      </c>
      <c r="M39" s="21" t="s">
        <v>51</v>
      </c>
      <c r="Q39" s="31" t="s">
        <v>71</v>
      </c>
      <c r="R39" s="45" t="s">
        <v>275</v>
      </c>
      <c r="S39" s="45" t="s">
        <v>239</v>
      </c>
      <c r="T39" s="29" t="s">
        <v>44</v>
      </c>
      <c r="U39" s="29"/>
      <c r="V39" s="29"/>
      <c r="W39" s="17" t="s">
        <v>232</v>
      </c>
      <c r="Z39" s="17">
        <v>36</v>
      </c>
    </row>
    <row r="40" spans="1:39" ht="63">
      <c r="A40" s="17" t="s">
        <v>276</v>
      </c>
      <c r="B40" s="18" t="s">
        <v>277</v>
      </c>
      <c r="C40" s="34" t="s">
        <v>278</v>
      </c>
      <c r="D40" s="29" t="s">
        <v>279</v>
      </c>
      <c r="E40" s="29" t="s">
        <v>280</v>
      </c>
      <c r="F40" s="57" t="s">
        <v>38</v>
      </c>
      <c r="G40" s="12">
        <v>46149</v>
      </c>
      <c r="H40" s="12" t="s">
        <v>281</v>
      </c>
      <c r="I40" s="12">
        <f t="shared" si="2"/>
        <v>46514</v>
      </c>
      <c r="J40" s="52">
        <f t="shared" ca="1" si="0"/>
        <v>308</v>
      </c>
      <c r="K40" s="52" t="str">
        <f t="shared" ca="1" si="1"/>
        <v>Vigente</v>
      </c>
      <c r="L40" s="55" t="s">
        <v>96</v>
      </c>
      <c r="M40" s="21" t="s">
        <v>282</v>
      </c>
      <c r="N40" s="18" t="s">
        <v>132</v>
      </c>
      <c r="O40" s="18" t="s">
        <v>133</v>
      </c>
      <c r="P40" s="64"/>
      <c r="Q40" s="36" t="s">
        <v>283</v>
      </c>
      <c r="R40" s="29" t="s">
        <v>284</v>
      </c>
      <c r="S40" s="29" t="s">
        <v>231</v>
      </c>
      <c r="T40" s="29" t="s">
        <v>44</v>
      </c>
      <c r="U40" s="29"/>
      <c r="V40" s="29"/>
      <c r="W40" s="18" t="s">
        <v>285</v>
      </c>
      <c r="X40" s="18"/>
      <c r="Y40" s="18"/>
      <c r="Z40" s="17">
        <v>37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 spans="1:39" ht="30">
      <c r="A41" s="17" t="s">
        <v>286</v>
      </c>
      <c r="B41" s="17" t="s">
        <v>287</v>
      </c>
      <c r="C41" s="17" t="s">
        <v>288</v>
      </c>
      <c r="D41" s="31" t="s">
        <v>289</v>
      </c>
      <c r="E41" s="45" t="s">
        <v>280</v>
      </c>
      <c r="I41" s="12"/>
      <c r="J41" s="52" t="str">
        <f t="shared" ca="1" si="0"/>
        <v/>
      </c>
      <c r="K41" s="52" t="str">
        <f t="shared" ca="1" si="1"/>
        <v/>
      </c>
      <c r="L41" s="17" t="s">
        <v>50</v>
      </c>
      <c r="M41" s="21" t="s">
        <v>51</v>
      </c>
      <c r="Q41" s="31" t="s">
        <v>71</v>
      </c>
      <c r="R41" s="45" t="s">
        <v>290</v>
      </c>
      <c r="S41" s="45" t="s">
        <v>284</v>
      </c>
      <c r="T41" s="29" t="s">
        <v>44</v>
      </c>
      <c r="U41" s="29"/>
      <c r="V41" s="29"/>
      <c r="W41" s="17" t="s">
        <v>285</v>
      </c>
      <c r="Z41" s="17">
        <v>38</v>
      </c>
    </row>
    <row r="42" spans="1:39" ht="30">
      <c r="A42" s="17" t="s">
        <v>291</v>
      </c>
      <c r="B42" s="17" t="s">
        <v>292</v>
      </c>
      <c r="C42" s="17" t="s">
        <v>293</v>
      </c>
      <c r="D42" s="31" t="s">
        <v>294</v>
      </c>
      <c r="E42" s="45" t="s">
        <v>280</v>
      </c>
      <c r="I42" s="12"/>
      <c r="J42" s="52" t="str">
        <f t="shared" ca="1" si="0"/>
        <v/>
      </c>
      <c r="K42" s="52" t="str">
        <f t="shared" ca="1" si="1"/>
        <v/>
      </c>
      <c r="L42" s="17" t="s">
        <v>50</v>
      </c>
      <c r="M42" s="21" t="s">
        <v>295</v>
      </c>
      <c r="Q42" s="31" t="s">
        <v>296</v>
      </c>
      <c r="R42" s="45" t="s">
        <v>297</v>
      </c>
      <c r="S42" s="45" t="s">
        <v>284</v>
      </c>
      <c r="T42" s="29" t="s">
        <v>44</v>
      </c>
      <c r="U42" s="29"/>
      <c r="V42" s="29"/>
      <c r="Z42" s="17">
        <v>39</v>
      </c>
    </row>
    <row r="43" spans="1:39" ht="30">
      <c r="A43" s="17" t="s">
        <v>298</v>
      </c>
      <c r="B43" s="17" t="s">
        <v>299</v>
      </c>
      <c r="C43" s="17" t="s">
        <v>300</v>
      </c>
      <c r="D43" s="31" t="s">
        <v>301</v>
      </c>
      <c r="E43" s="45" t="s">
        <v>280</v>
      </c>
      <c r="I43" s="12"/>
      <c r="J43" s="52" t="str">
        <f t="shared" ca="1" si="0"/>
        <v/>
      </c>
      <c r="K43" s="52" t="str">
        <f t="shared" ca="1" si="1"/>
        <v/>
      </c>
      <c r="L43" s="17" t="s">
        <v>50</v>
      </c>
      <c r="M43" s="21" t="s">
        <v>302</v>
      </c>
      <c r="Q43" s="31" t="s">
        <v>71</v>
      </c>
      <c r="R43" s="45" t="s">
        <v>303</v>
      </c>
      <c r="S43" s="45" t="s">
        <v>284</v>
      </c>
      <c r="T43" s="29" t="s">
        <v>44</v>
      </c>
      <c r="U43" s="29"/>
      <c r="V43" s="29"/>
      <c r="W43" s="17" t="s">
        <v>285</v>
      </c>
      <c r="X43" s="17" t="s">
        <v>304</v>
      </c>
      <c r="Z43" s="17">
        <v>40</v>
      </c>
    </row>
    <row r="44" spans="1:39" ht="28.5" customHeight="1">
      <c r="A44" s="17" t="s">
        <v>305</v>
      </c>
      <c r="B44" s="17" t="s">
        <v>306</v>
      </c>
      <c r="C44" s="17" t="s">
        <v>2</v>
      </c>
      <c r="D44" s="31" t="s">
        <v>307</v>
      </c>
      <c r="E44" s="45" t="s">
        <v>280</v>
      </c>
      <c r="I44" s="12"/>
      <c r="J44" s="52" t="str">
        <f t="shared" ca="1" si="0"/>
        <v/>
      </c>
      <c r="K44" s="52" t="str">
        <f t="shared" ca="1" si="1"/>
        <v/>
      </c>
      <c r="L44" s="17" t="s">
        <v>50</v>
      </c>
      <c r="M44" s="21" t="s">
        <v>302</v>
      </c>
      <c r="Q44" s="31" t="s">
        <v>71</v>
      </c>
      <c r="R44" s="45" t="s">
        <v>308</v>
      </c>
      <c r="S44" s="45" t="s">
        <v>284</v>
      </c>
      <c r="T44" s="29" t="s">
        <v>44</v>
      </c>
      <c r="U44" s="29"/>
      <c r="V44" s="29"/>
      <c r="W44" s="17" t="s">
        <v>285</v>
      </c>
      <c r="X44" s="17" t="s">
        <v>304</v>
      </c>
      <c r="Z44" s="17">
        <v>41</v>
      </c>
    </row>
    <row r="45" spans="1:39" ht="30">
      <c r="A45" s="17" t="s">
        <v>309</v>
      </c>
      <c r="B45" s="17" t="s">
        <v>310</v>
      </c>
      <c r="C45" s="17" t="s">
        <v>311</v>
      </c>
      <c r="D45" s="31" t="s">
        <v>312</v>
      </c>
      <c r="E45" s="45" t="s">
        <v>280</v>
      </c>
      <c r="I45" s="12"/>
      <c r="J45" s="52" t="str">
        <f t="shared" ca="1" si="0"/>
        <v/>
      </c>
      <c r="K45" s="52" t="str">
        <f t="shared" ca="1" si="1"/>
        <v/>
      </c>
      <c r="L45" s="17" t="s">
        <v>50</v>
      </c>
      <c r="M45" s="21" t="s">
        <v>302</v>
      </c>
      <c r="Q45" s="31" t="s">
        <v>71</v>
      </c>
      <c r="R45" s="45" t="s">
        <v>313</v>
      </c>
      <c r="S45" s="45" t="s">
        <v>284</v>
      </c>
      <c r="T45" s="29" t="s">
        <v>44</v>
      </c>
      <c r="U45" s="29"/>
      <c r="V45" s="29"/>
      <c r="W45" s="17" t="s">
        <v>285</v>
      </c>
      <c r="X45" s="17" t="s">
        <v>304</v>
      </c>
      <c r="Z45" s="17">
        <v>42</v>
      </c>
    </row>
    <row r="46" spans="1:39" ht="54" customHeight="1">
      <c r="A46" s="17" t="s">
        <v>314</v>
      </c>
      <c r="B46" s="18" t="s">
        <v>315</v>
      </c>
      <c r="C46" s="34" t="s">
        <v>316</v>
      </c>
      <c r="D46" s="36" t="s">
        <v>317</v>
      </c>
      <c r="E46" s="70" t="s">
        <v>228</v>
      </c>
      <c r="F46" s="57">
        <v>1</v>
      </c>
      <c r="G46" s="12">
        <v>46195</v>
      </c>
      <c r="H46" s="12"/>
      <c r="I46" s="12">
        <f t="shared" si="2"/>
        <v>46560</v>
      </c>
      <c r="J46" s="52">
        <f t="shared" ca="1" si="0"/>
        <v>354</v>
      </c>
      <c r="K46" s="52" t="str">
        <f t="shared" ca="1" si="1"/>
        <v>Vigente</v>
      </c>
      <c r="L46" s="25" t="s">
        <v>318</v>
      </c>
      <c r="M46" s="21" t="s">
        <v>319</v>
      </c>
      <c r="N46" s="18" t="s">
        <v>132</v>
      </c>
      <c r="O46" s="18"/>
      <c r="P46" s="64"/>
      <c r="Q46" s="36" t="s">
        <v>320</v>
      </c>
      <c r="R46" s="45" t="s">
        <v>316</v>
      </c>
      <c r="S46" s="45" t="s">
        <v>231</v>
      </c>
      <c r="T46" s="29" t="s">
        <v>44</v>
      </c>
      <c r="U46" s="29"/>
      <c r="V46" s="29"/>
      <c r="W46" s="18" t="s">
        <v>321</v>
      </c>
      <c r="X46" s="36" t="s">
        <v>322</v>
      </c>
      <c r="Y46" s="18"/>
      <c r="Z46" s="17">
        <v>43</v>
      </c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 spans="1:39" ht="31.5">
      <c r="A47" s="17" t="s">
        <v>323</v>
      </c>
      <c r="B47" s="17" t="s">
        <v>324</v>
      </c>
      <c r="C47" s="17" t="s">
        <v>325</v>
      </c>
      <c r="D47" s="36" t="s">
        <v>326</v>
      </c>
      <c r="E47" s="70" t="s">
        <v>228</v>
      </c>
      <c r="I47" s="12"/>
      <c r="J47" s="52" t="str">
        <f t="shared" ca="1" si="0"/>
        <v/>
      </c>
      <c r="K47" s="52" t="str">
        <f t="shared" ca="1" si="1"/>
        <v/>
      </c>
      <c r="L47" s="17" t="s">
        <v>50</v>
      </c>
      <c r="M47" s="21" t="s">
        <v>51</v>
      </c>
      <c r="Q47" s="31" t="s">
        <v>327</v>
      </c>
      <c r="R47" s="45" t="s">
        <v>325</v>
      </c>
      <c r="S47" s="45" t="s">
        <v>316</v>
      </c>
      <c r="T47" s="29" t="s">
        <v>44</v>
      </c>
      <c r="U47" s="29"/>
      <c r="V47" s="29"/>
      <c r="W47" s="17" t="s">
        <v>321</v>
      </c>
      <c r="Z47" s="17">
        <v>44</v>
      </c>
    </row>
    <row r="48" spans="1:39" ht="31.5">
      <c r="A48" s="17" t="s">
        <v>328</v>
      </c>
      <c r="B48" s="17" t="s">
        <v>329</v>
      </c>
      <c r="C48" s="17" t="s">
        <v>330</v>
      </c>
      <c r="D48" s="36" t="s">
        <v>331</v>
      </c>
      <c r="E48" s="70" t="s">
        <v>228</v>
      </c>
      <c r="I48" s="12"/>
      <c r="J48" s="52" t="str">
        <f t="shared" ca="1" si="0"/>
        <v/>
      </c>
      <c r="K48" s="52" t="str">
        <f t="shared" ca="1" si="1"/>
        <v/>
      </c>
      <c r="L48" s="17" t="s">
        <v>50</v>
      </c>
      <c r="M48" s="21" t="s">
        <v>51</v>
      </c>
      <c r="Q48" s="31" t="s">
        <v>71</v>
      </c>
      <c r="R48" s="45" t="s">
        <v>330</v>
      </c>
      <c r="S48" s="45" t="s">
        <v>316</v>
      </c>
      <c r="T48" s="29" t="s">
        <v>44</v>
      </c>
      <c r="U48" s="29"/>
      <c r="V48" s="29"/>
      <c r="W48" s="17" t="s">
        <v>321</v>
      </c>
      <c r="Z48" s="17">
        <v>45</v>
      </c>
    </row>
    <row r="49" spans="1:39" ht="30">
      <c r="A49" s="17" t="s">
        <v>332</v>
      </c>
      <c r="B49" s="28">
        <v>3</v>
      </c>
      <c r="C49" s="28" t="s">
        <v>333</v>
      </c>
      <c r="D49" s="29" t="s">
        <v>334</v>
      </c>
      <c r="E49" s="29" t="s">
        <v>335</v>
      </c>
      <c r="F49" s="57" t="s">
        <v>95</v>
      </c>
      <c r="G49" s="12">
        <v>46155</v>
      </c>
      <c r="H49" s="12"/>
      <c r="I49" s="12"/>
      <c r="J49" s="52" t="str">
        <f t="shared" ca="1" si="0"/>
        <v/>
      </c>
      <c r="K49" s="52" t="str">
        <f t="shared" ca="1" si="1"/>
        <v/>
      </c>
      <c r="L49" s="1" t="s">
        <v>39</v>
      </c>
      <c r="M49" s="21" t="s">
        <v>336</v>
      </c>
      <c r="N49" s="16"/>
      <c r="O49" s="16"/>
      <c r="P49" s="63"/>
      <c r="Q49" s="31" t="s">
        <v>71</v>
      </c>
      <c r="R49" s="29" t="s">
        <v>337</v>
      </c>
      <c r="S49" s="29" t="s">
        <v>43</v>
      </c>
      <c r="T49" s="29" t="s">
        <v>44</v>
      </c>
      <c r="U49" s="29"/>
      <c r="V49" s="29"/>
      <c r="W49" s="16"/>
      <c r="X49" s="16"/>
      <c r="Y49" s="16"/>
      <c r="Z49" s="17">
        <v>46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</row>
    <row r="50" spans="1:39" ht="47.25">
      <c r="A50" s="17" t="s">
        <v>338</v>
      </c>
      <c r="B50" s="18" t="s">
        <v>339</v>
      </c>
      <c r="C50" s="34" t="s">
        <v>340</v>
      </c>
      <c r="D50" s="36" t="s">
        <v>341</v>
      </c>
      <c r="E50" s="45" t="s">
        <v>335</v>
      </c>
      <c r="F50" s="59"/>
      <c r="G50" s="18"/>
      <c r="H50" s="18"/>
      <c r="I50" s="12"/>
      <c r="J50" s="52" t="str">
        <f t="shared" ca="1" si="0"/>
        <v/>
      </c>
      <c r="K50" s="52" t="str">
        <f t="shared" ca="1" si="1"/>
        <v/>
      </c>
      <c r="L50" s="17" t="s">
        <v>50</v>
      </c>
      <c r="M50" s="21" t="s">
        <v>51</v>
      </c>
      <c r="N50" s="18"/>
      <c r="O50" s="18"/>
      <c r="P50" s="64"/>
      <c r="Q50" s="31" t="s">
        <v>71</v>
      </c>
      <c r="R50" s="45" t="s">
        <v>342</v>
      </c>
      <c r="S50" s="45" t="s">
        <v>337</v>
      </c>
      <c r="T50" s="29" t="s">
        <v>44</v>
      </c>
      <c r="U50" s="29"/>
      <c r="V50" s="29"/>
      <c r="W50" s="18"/>
      <c r="X50" s="18"/>
      <c r="Y50" s="18"/>
      <c r="Z50" s="17">
        <v>47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 spans="1:39" ht="31.5">
      <c r="A51" s="17" t="s">
        <v>343</v>
      </c>
      <c r="B51" s="17" t="s">
        <v>344</v>
      </c>
      <c r="C51" s="17" t="s">
        <v>345</v>
      </c>
      <c r="D51" s="36" t="s">
        <v>346</v>
      </c>
      <c r="E51" s="45" t="s">
        <v>335</v>
      </c>
      <c r="I51" s="12"/>
      <c r="J51" s="52" t="str">
        <f t="shared" ca="1" si="0"/>
        <v/>
      </c>
      <c r="K51" s="52" t="str">
        <f t="shared" ca="1" si="1"/>
        <v/>
      </c>
      <c r="L51" s="17" t="s">
        <v>50</v>
      </c>
      <c r="M51" s="21" t="s">
        <v>51</v>
      </c>
      <c r="Q51" s="31" t="s">
        <v>347</v>
      </c>
      <c r="R51" s="45" t="s">
        <v>345</v>
      </c>
      <c r="S51" s="45" t="s">
        <v>342</v>
      </c>
      <c r="T51" s="29" t="s">
        <v>44</v>
      </c>
      <c r="U51" s="29"/>
      <c r="V51" s="29"/>
      <c r="Z51" s="17">
        <v>48</v>
      </c>
    </row>
    <row r="52" spans="1:39" ht="30">
      <c r="A52" s="17" t="s">
        <v>348</v>
      </c>
      <c r="B52" s="17" t="s">
        <v>349</v>
      </c>
      <c r="C52" s="45" t="s">
        <v>350</v>
      </c>
      <c r="D52" s="29" t="s">
        <v>351</v>
      </c>
      <c r="E52" s="29" t="s">
        <v>335</v>
      </c>
      <c r="F52" s="57" t="s">
        <v>352</v>
      </c>
      <c r="G52" s="12">
        <v>46121</v>
      </c>
      <c r="H52" s="12"/>
      <c r="I52" s="12"/>
      <c r="J52" s="52" t="str">
        <f t="shared" ca="1" si="0"/>
        <v/>
      </c>
      <c r="K52" s="52" t="str">
        <f t="shared" ca="1" si="1"/>
        <v/>
      </c>
      <c r="L52" s="1" t="s">
        <v>39</v>
      </c>
      <c r="M52" s="21" t="s">
        <v>353</v>
      </c>
      <c r="Q52" s="31" t="s">
        <v>354</v>
      </c>
      <c r="R52" s="29" t="s">
        <v>355</v>
      </c>
      <c r="S52" s="29" t="s">
        <v>337</v>
      </c>
      <c r="T52" s="29" t="s">
        <v>44</v>
      </c>
      <c r="U52" s="29"/>
      <c r="V52" s="29"/>
      <c r="Z52" s="17">
        <v>49</v>
      </c>
    </row>
    <row r="53" spans="1:39" ht="31.5">
      <c r="A53" s="17" t="s">
        <v>356</v>
      </c>
      <c r="B53" s="18" t="s">
        <v>357</v>
      </c>
      <c r="C53" s="34" t="s">
        <v>358</v>
      </c>
      <c r="D53" s="36" t="s">
        <v>359</v>
      </c>
      <c r="E53" s="45" t="s">
        <v>360</v>
      </c>
      <c r="F53" s="59"/>
      <c r="G53" s="18"/>
      <c r="H53" s="18"/>
      <c r="I53" s="12"/>
      <c r="J53" s="52" t="str">
        <f t="shared" ca="1" si="0"/>
        <v/>
      </c>
      <c r="K53" s="52" t="str">
        <f t="shared" ca="1" si="1"/>
        <v/>
      </c>
      <c r="L53" s="17" t="s">
        <v>50</v>
      </c>
      <c r="M53" s="21" t="s">
        <v>51</v>
      </c>
      <c r="N53" s="18"/>
      <c r="O53" s="18"/>
      <c r="P53" s="64"/>
      <c r="Q53" s="31" t="s">
        <v>71</v>
      </c>
      <c r="R53" s="45" t="s">
        <v>361</v>
      </c>
      <c r="S53" s="45" t="s">
        <v>337</v>
      </c>
      <c r="T53" s="29" t="s">
        <v>44</v>
      </c>
      <c r="U53" s="29"/>
      <c r="V53" s="29"/>
      <c r="W53" s="18"/>
      <c r="X53" s="18"/>
      <c r="Y53" s="18"/>
      <c r="Z53" s="17">
        <v>50</v>
      </c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</row>
    <row r="54" spans="1:39" ht="31.5">
      <c r="A54" s="17" t="s">
        <v>362</v>
      </c>
      <c r="B54" s="17" t="s">
        <v>363</v>
      </c>
      <c r="C54" s="27" t="s">
        <v>364</v>
      </c>
      <c r="D54" s="36" t="s">
        <v>365</v>
      </c>
      <c r="E54" s="45" t="s">
        <v>360</v>
      </c>
      <c r="I54" s="12"/>
      <c r="J54" s="52" t="str">
        <f t="shared" ca="1" si="0"/>
        <v/>
      </c>
      <c r="K54" s="52" t="str">
        <f t="shared" ca="1" si="1"/>
        <v/>
      </c>
      <c r="L54" s="17" t="s">
        <v>50</v>
      </c>
      <c r="M54" s="21" t="s">
        <v>51</v>
      </c>
      <c r="Q54" s="31" t="s">
        <v>71</v>
      </c>
      <c r="R54" s="45" t="s">
        <v>364</v>
      </c>
      <c r="S54" s="45" t="s">
        <v>361</v>
      </c>
      <c r="T54" s="29" t="s">
        <v>44</v>
      </c>
      <c r="U54" s="29"/>
      <c r="V54" s="29"/>
      <c r="Z54" s="17">
        <v>51</v>
      </c>
    </row>
    <row r="55" spans="1:39" ht="31.5">
      <c r="A55" s="17" t="s">
        <v>366</v>
      </c>
      <c r="B55" s="17" t="s">
        <v>367</v>
      </c>
      <c r="C55" s="27" t="s">
        <v>368</v>
      </c>
      <c r="D55" s="36" t="s">
        <v>369</v>
      </c>
      <c r="E55" s="45" t="s">
        <v>370</v>
      </c>
      <c r="I55" s="12"/>
      <c r="J55" s="52" t="str">
        <f t="shared" ca="1" si="0"/>
        <v/>
      </c>
      <c r="K55" s="52" t="str">
        <f t="shared" ca="1" si="1"/>
        <v/>
      </c>
      <c r="L55" s="17" t="s">
        <v>50</v>
      </c>
      <c r="M55" s="21" t="s">
        <v>51</v>
      </c>
      <c r="Q55" s="31" t="s">
        <v>71</v>
      </c>
      <c r="R55" s="45" t="s">
        <v>371</v>
      </c>
      <c r="S55" s="45" t="s">
        <v>361</v>
      </c>
      <c r="T55" s="29" t="s">
        <v>44</v>
      </c>
      <c r="U55" s="29"/>
      <c r="V55" s="29"/>
      <c r="Z55" s="17">
        <v>52</v>
      </c>
    </row>
    <row r="56" spans="1:39" ht="47.25">
      <c r="A56" s="17" t="s">
        <v>372</v>
      </c>
      <c r="B56" s="17" t="s">
        <v>373</v>
      </c>
      <c r="C56" s="27" t="s">
        <v>374</v>
      </c>
      <c r="D56" s="36" t="s">
        <v>375</v>
      </c>
      <c r="E56" s="45" t="s">
        <v>335</v>
      </c>
      <c r="I56" s="12"/>
      <c r="J56" s="52" t="str">
        <f t="shared" ca="1" si="0"/>
        <v/>
      </c>
      <c r="K56" s="52" t="str">
        <f t="shared" ca="1" si="1"/>
        <v/>
      </c>
      <c r="L56" s="17" t="s">
        <v>50</v>
      </c>
      <c r="M56" s="21" t="s">
        <v>376</v>
      </c>
      <c r="Q56" s="31" t="s">
        <v>71</v>
      </c>
      <c r="R56" s="45" t="s">
        <v>377</v>
      </c>
      <c r="S56" s="45" t="s">
        <v>337</v>
      </c>
      <c r="T56" s="29" t="s">
        <v>44</v>
      </c>
      <c r="U56" s="29"/>
      <c r="V56" s="29"/>
      <c r="Z56" s="17">
        <v>53</v>
      </c>
    </row>
    <row r="57" spans="1:39" ht="31.5">
      <c r="A57" s="17" t="s">
        <v>378</v>
      </c>
      <c r="B57" s="18" t="s">
        <v>379</v>
      </c>
      <c r="C57" s="34" t="s">
        <v>380</v>
      </c>
      <c r="D57" s="36" t="s">
        <v>381</v>
      </c>
      <c r="E57" s="45" t="s">
        <v>335</v>
      </c>
      <c r="F57" s="59"/>
      <c r="G57" s="18"/>
      <c r="H57" s="18"/>
      <c r="I57" s="12"/>
      <c r="J57" s="52" t="str">
        <f t="shared" ca="1" si="0"/>
        <v/>
      </c>
      <c r="K57" s="52" t="str">
        <f t="shared" ca="1" si="1"/>
        <v/>
      </c>
      <c r="L57" s="17" t="s">
        <v>50</v>
      </c>
      <c r="M57" s="21" t="s">
        <v>51</v>
      </c>
      <c r="N57" s="18"/>
      <c r="O57" s="18"/>
      <c r="P57" s="64"/>
      <c r="Q57" s="31" t="s">
        <v>71</v>
      </c>
      <c r="R57" s="45" t="s">
        <v>325</v>
      </c>
      <c r="S57" s="45" t="s">
        <v>342</v>
      </c>
      <c r="T57" s="29" t="s">
        <v>44</v>
      </c>
      <c r="U57" s="29"/>
      <c r="V57" s="29"/>
      <c r="W57" s="18"/>
      <c r="X57" s="18"/>
      <c r="Y57" s="18"/>
      <c r="Z57" s="17">
        <v>54</v>
      </c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</row>
    <row r="58" spans="1:39" ht="31.5">
      <c r="A58" s="17" t="s">
        <v>382</v>
      </c>
      <c r="B58" s="28">
        <v>4</v>
      </c>
      <c r="C58" s="28" t="s">
        <v>383</v>
      </c>
      <c r="D58" s="36" t="s">
        <v>384</v>
      </c>
      <c r="E58" s="45" t="s">
        <v>385</v>
      </c>
      <c r="F58" s="58"/>
      <c r="G58" s="16"/>
      <c r="H58" s="16"/>
      <c r="I58" s="12"/>
      <c r="J58" s="52" t="str">
        <f t="shared" ca="1" si="0"/>
        <v/>
      </c>
      <c r="K58" s="52" t="str">
        <f t="shared" ca="1" si="1"/>
        <v/>
      </c>
      <c r="L58" s="17" t="s">
        <v>50</v>
      </c>
      <c r="M58" s="21" t="s">
        <v>51</v>
      </c>
      <c r="N58" s="16"/>
      <c r="O58" s="16"/>
      <c r="P58" s="63"/>
      <c r="Q58" s="31" t="s">
        <v>386</v>
      </c>
      <c r="R58" s="45" t="s">
        <v>387</v>
      </c>
      <c r="S58" s="45" t="s">
        <v>43</v>
      </c>
      <c r="T58" s="29" t="s">
        <v>44</v>
      </c>
      <c r="U58" s="29"/>
      <c r="V58" s="29"/>
      <c r="W58" s="16"/>
      <c r="X58" s="16"/>
      <c r="Y58" s="16"/>
      <c r="Z58" s="17">
        <v>55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</row>
    <row r="59" spans="1:39" ht="47.25">
      <c r="A59" s="17" t="s">
        <v>388</v>
      </c>
      <c r="B59" s="17" t="s">
        <v>389</v>
      </c>
      <c r="C59" s="27" t="s">
        <v>390</v>
      </c>
      <c r="D59" s="36" t="s">
        <v>391</v>
      </c>
      <c r="E59" s="45" t="s">
        <v>392</v>
      </c>
      <c r="F59" s="58"/>
      <c r="G59" s="16"/>
      <c r="H59" s="16"/>
      <c r="I59" s="12"/>
      <c r="J59" s="52" t="str">
        <f t="shared" ca="1" si="0"/>
        <v/>
      </c>
      <c r="K59" s="52" t="str">
        <f t="shared" ca="1" si="1"/>
        <v/>
      </c>
      <c r="L59" s="17" t="s">
        <v>50</v>
      </c>
      <c r="M59" s="21" t="s">
        <v>51</v>
      </c>
      <c r="N59" s="16"/>
      <c r="O59" s="16"/>
      <c r="P59" s="63"/>
      <c r="Q59" s="31" t="s">
        <v>71</v>
      </c>
      <c r="R59" s="45" t="s">
        <v>393</v>
      </c>
      <c r="S59" s="45" t="s">
        <v>387</v>
      </c>
      <c r="T59" s="29" t="s">
        <v>44</v>
      </c>
      <c r="U59" s="29"/>
      <c r="V59" s="29"/>
      <c r="W59" s="16"/>
      <c r="X59" s="16"/>
      <c r="Y59" s="16"/>
      <c r="Z59" s="17">
        <v>56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</row>
    <row r="60" spans="1:39" ht="47.25">
      <c r="A60" s="17" t="s">
        <v>394</v>
      </c>
      <c r="B60" s="17" t="s">
        <v>395</v>
      </c>
      <c r="C60" s="27" t="s">
        <v>396</v>
      </c>
      <c r="D60" s="36" t="s">
        <v>397</v>
      </c>
      <c r="E60" s="45" t="s">
        <v>392</v>
      </c>
      <c r="F60" s="58"/>
      <c r="G60" s="16"/>
      <c r="H60" s="16"/>
      <c r="I60" s="12"/>
      <c r="J60" s="52" t="str">
        <f t="shared" ca="1" si="0"/>
        <v/>
      </c>
      <c r="K60" s="52" t="str">
        <f t="shared" ca="1" si="1"/>
        <v/>
      </c>
      <c r="L60" s="17" t="s">
        <v>50</v>
      </c>
      <c r="M60" s="21" t="s">
        <v>51</v>
      </c>
      <c r="N60" s="16"/>
      <c r="O60" s="16"/>
      <c r="P60" s="63"/>
      <c r="Q60" s="31" t="s">
        <v>71</v>
      </c>
      <c r="R60" s="45" t="s">
        <v>398</v>
      </c>
      <c r="S60" s="45" t="s">
        <v>393</v>
      </c>
      <c r="T60" s="29" t="s">
        <v>44</v>
      </c>
      <c r="U60" s="29"/>
      <c r="V60" s="29"/>
      <c r="W60" s="16"/>
      <c r="X60" s="16"/>
      <c r="Y60" s="16"/>
      <c r="Z60" s="17">
        <v>57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</row>
    <row r="61" spans="1:39" ht="33.75">
      <c r="A61" s="17" t="s">
        <v>399</v>
      </c>
      <c r="B61" s="17" t="s">
        <v>400</v>
      </c>
      <c r="C61" s="46" t="s">
        <v>401</v>
      </c>
      <c r="D61" s="29" t="s">
        <v>402</v>
      </c>
      <c r="E61" s="29" t="s">
        <v>392</v>
      </c>
      <c r="F61" s="57" t="s">
        <v>95</v>
      </c>
      <c r="G61" s="12">
        <v>46122</v>
      </c>
      <c r="H61" s="12"/>
      <c r="I61" s="12"/>
      <c r="J61" s="52" t="str">
        <f t="shared" ca="1" si="0"/>
        <v/>
      </c>
      <c r="K61" s="52" t="str">
        <f t="shared" ca="1" si="1"/>
        <v/>
      </c>
      <c r="L61" s="11" t="s">
        <v>39</v>
      </c>
      <c r="M61" s="21" t="s">
        <v>403</v>
      </c>
      <c r="N61" s="16"/>
      <c r="O61" s="16"/>
      <c r="P61" s="63"/>
      <c r="Q61" s="31" t="s">
        <v>71</v>
      </c>
      <c r="R61" s="29" t="s">
        <v>402</v>
      </c>
      <c r="S61" s="29" t="s">
        <v>393</v>
      </c>
      <c r="T61" s="29" t="s">
        <v>44</v>
      </c>
      <c r="U61" s="29"/>
      <c r="V61" s="29"/>
      <c r="W61" s="16"/>
      <c r="X61" s="16"/>
      <c r="Y61" s="16"/>
      <c r="Z61" s="17">
        <v>58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</row>
    <row r="62" spans="1:39" ht="31.5">
      <c r="A62" s="17" t="s">
        <v>404</v>
      </c>
      <c r="B62" s="17" t="s">
        <v>405</v>
      </c>
      <c r="C62" s="17" t="s">
        <v>406</v>
      </c>
      <c r="D62" s="36" t="s">
        <v>407</v>
      </c>
      <c r="E62" s="45" t="s">
        <v>408</v>
      </c>
      <c r="I62" s="12"/>
      <c r="J62" s="52" t="str">
        <f t="shared" ca="1" si="0"/>
        <v/>
      </c>
      <c r="K62" s="52" t="str">
        <f t="shared" ca="1" si="1"/>
        <v/>
      </c>
      <c r="L62" s="17" t="s">
        <v>50</v>
      </c>
      <c r="M62" s="21" t="s">
        <v>51</v>
      </c>
      <c r="Q62" s="31" t="s">
        <v>409</v>
      </c>
      <c r="R62" s="45" t="s">
        <v>406</v>
      </c>
      <c r="S62" s="45" t="s">
        <v>387</v>
      </c>
      <c r="T62" s="29" t="s">
        <v>44</v>
      </c>
      <c r="U62" s="29"/>
      <c r="V62" s="29"/>
      <c r="Z62" s="17">
        <v>59</v>
      </c>
    </row>
    <row r="63" spans="1:39" ht="31.5">
      <c r="A63" s="17" t="s">
        <v>410</v>
      </c>
      <c r="B63" s="17" t="s">
        <v>411</v>
      </c>
      <c r="C63" s="27" t="s">
        <v>412</v>
      </c>
      <c r="D63" s="36" t="s">
        <v>413</v>
      </c>
      <c r="E63" s="45" t="s">
        <v>385</v>
      </c>
      <c r="I63" s="12"/>
      <c r="J63" s="52" t="str">
        <f t="shared" ca="1" si="0"/>
        <v/>
      </c>
      <c r="K63" s="52" t="str">
        <f t="shared" ca="1" si="1"/>
        <v/>
      </c>
      <c r="L63" s="17" t="s">
        <v>50</v>
      </c>
      <c r="M63" s="21" t="s">
        <v>51</v>
      </c>
      <c r="Q63" s="31" t="s">
        <v>71</v>
      </c>
      <c r="R63" s="45" t="s">
        <v>414</v>
      </c>
      <c r="S63" s="45" t="s">
        <v>387</v>
      </c>
      <c r="T63" s="29" t="s">
        <v>44</v>
      </c>
      <c r="U63" s="29"/>
      <c r="V63" s="29"/>
      <c r="Z63" s="17">
        <v>60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7325-15E9-4174-84BA-75B94B059D76}">
  <dimension ref="A1:AA8"/>
  <sheetViews>
    <sheetView workbookViewId="0">
      <selection activeCell="D3" sqref="D3"/>
    </sheetView>
  </sheetViews>
  <sheetFormatPr baseColWidth="10" defaultColWidth="9.140625" defaultRowHeight="15"/>
  <cols>
    <col min="1" max="1" width="19.7109375" customWidth="1"/>
    <col min="2" max="2" width="15" customWidth="1"/>
    <col min="3" max="3" width="36" bestFit="1" customWidth="1"/>
    <col min="4" max="4" width="32.5703125" bestFit="1" customWidth="1"/>
    <col min="5" max="5" width="12.42578125" customWidth="1"/>
    <col min="6" max="6" width="7.42578125" bestFit="1" customWidth="1"/>
    <col min="7" max="7" width="11.42578125" customWidth="1"/>
    <col min="8" max="8" width="22.85546875" bestFit="1" customWidth="1"/>
    <col min="9" max="9" width="21.140625" customWidth="1"/>
    <col min="10" max="10" width="12.5703125" bestFit="1" customWidth="1"/>
    <col min="11" max="11" width="14.42578125" customWidth="1"/>
    <col min="12" max="12" width="28.85546875" customWidth="1"/>
    <col min="13" max="13" width="22.7109375" customWidth="1"/>
    <col min="14" max="14" width="14.140625" customWidth="1"/>
    <col min="15" max="15" width="10.42578125" customWidth="1"/>
    <col min="16" max="16" width="23.7109375" customWidth="1"/>
    <col min="17" max="17" width="16.42578125" customWidth="1"/>
    <col min="18" max="18" width="14.7109375" customWidth="1"/>
    <col min="19" max="19" width="18" customWidth="1"/>
    <col min="20" max="20" width="14" customWidth="1"/>
  </cols>
  <sheetData>
    <row r="1" spans="1:27" s="17" customFormat="1" ht="36" customHeight="1">
      <c r="A1" s="27"/>
      <c r="C1" s="31"/>
      <c r="D1" s="48" t="s">
        <v>415</v>
      </c>
      <c r="E1" s="45" t="s">
        <v>4</v>
      </c>
      <c r="F1" s="56">
        <v>1</v>
      </c>
      <c r="I1" s="31" t="s">
        <v>5</v>
      </c>
      <c r="L1" s="31" t="s">
        <v>6</v>
      </c>
      <c r="M1" s="54" t="s">
        <v>416</v>
      </c>
      <c r="N1" s="31" t="s">
        <v>8</v>
      </c>
      <c r="O1" s="31" t="s">
        <v>9</v>
      </c>
      <c r="P1" s="62"/>
      <c r="Q1" s="31"/>
      <c r="R1" s="45"/>
      <c r="S1" s="45"/>
      <c r="T1" s="45"/>
    </row>
    <row r="2" spans="1:27" s="17" customFormat="1" ht="34.5" customHeight="1">
      <c r="A2" s="49" t="s">
        <v>11</v>
      </c>
      <c r="B2" s="49" t="s">
        <v>12</v>
      </c>
      <c r="C2" s="50" t="s">
        <v>13</v>
      </c>
      <c r="D2" s="49" t="s">
        <v>14</v>
      </c>
      <c r="E2" s="49" t="s">
        <v>15</v>
      </c>
      <c r="F2" s="73" t="s">
        <v>16</v>
      </c>
      <c r="G2" s="67" t="s">
        <v>17</v>
      </c>
      <c r="H2" s="67" t="s">
        <v>18</v>
      </c>
      <c r="I2" s="67" t="s">
        <v>19</v>
      </c>
      <c r="J2" s="68" t="s">
        <v>20</v>
      </c>
      <c r="K2" s="68" t="s">
        <v>21</v>
      </c>
      <c r="L2" s="68" t="s">
        <v>22</v>
      </c>
      <c r="M2" s="67" t="s">
        <v>23</v>
      </c>
      <c r="N2" s="67" t="s">
        <v>24</v>
      </c>
      <c r="O2" s="67" t="s">
        <v>25</v>
      </c>
      <c r="P2" s="69" t="s">
        <v>26</v>
      </c>
      <c r="Q2" s="49" t="s">
        <v>27</v>
      </c>
      <c r="R2" s="53" t="s">
        <v>28</v>
      </c>
      <c r="S2" s="53" t="s">
        <v>29</v>
      </c>
      <c r="T2" s="53" t="s">
        <v>30</v>
      </c>
    </row>
    <row r="3" spans="1:27" ht="18.75">
      <c r="A3" s="94" t="s">
        <v>417</v>
      </c>
      <c r="B3" s="7">
        <v>0</v>
      </c>
      <c r="C3" s="8" t="s">
        <v>35</v>
      </c>
      <c r="D3" s="6" t="s">
        <v>418</v>
      </c>
      <c r="E3" s="6"/>
      <c r="F3" s="6"/>
      <c r="G3" s="6"/>
      <c r="H3" s="6"/>
      <c r="I3" s="6"/>
      <c r="J3" s="52" t="str">
        <f ca="1">IF(I3="","",I3-TODAY())</f>
        <v/>
      </c>
      <c r="K3" s="52" t="str">
        <f ca="1">IF(I3="","",IF(I3&lt;TODAY(),"Vencido",IF(I3-TODAY()&lt;=30,"Próximo a vencer","Vigente")))</f>
        <v/>
      </c>
      <c r="L3" s="17" t="s">
        <v>50</v>
      </c>
      <c r="M3" s="6"/>
      <c r="N3" s="6"/>
      <c r="O3" s="6"/>
      <c r="P3" s="6"/>
      <c r="Q3" s="6"/>
      <c r="R3" s="6"/>
      <c r="S3" s="6"/>
      <c r="T3" s="6" t="s">
        <v>419</v>
      </c>
      <c r="U3" s="6"/>
      <c r="V3" s="6"/>
      <c r="W3" s="6"/>
      <c r="X3" s="6"/>
      <c r="Y3" s="6"/>
      <c r="Z3" s="6"/>
      <c r="AA3" s="6"/>
    </row>
    <row r="4" spans="1:27" s="6" customFormat="1" ht="18.75">
      <c r="A4" s="94" t="s">
        <v>420</v>
      </c>
      <c r="B4" s="7">
        <v>1</v>
      </c>
      <c r="C4" s="8" t="s">
        <v>80</v>
      </c>
      <c r="J4" s="52" t="str">
        <f ca="1">IF(I4="","",I4-TODAY())</f>
        <v/>
      </c>
      <c r="K4" s="52" t="str">
        <f ca="1">IF(I4="","",IF(I4&lt;TODAY(),"Vencido",IF(I4-TODAY()&lt;=30,"Próximo a vencer","Vigente")))</f>
        <v/>
      </c>
      <c r="L4" s="17" t="s">
        <v>50</v>
      </c>
      <c r="T4" s="6" t="s">
        <v>419</v>
      </c>
    </row>
    <row r="5" spans="1:27" ht="18.75">
      <c r="A5" s="94" t="s">
        <v>421</v>
      </c>
      <c r="B5" s="7">
        <v>2</v>
      </c>
      <c r="C5" s="8" t="s">
        <v>226</v>
      </c>
      <c r="D5" s="6"/>
      <c r="E5" s="6"/>
      <c r="F5" s="6"/>
      <c r="G5" s="6"/>
      <c r="H5" s="6"/>
      <c r="I5" s="6"/>
      <c r="J5" s="52" t="str">
        <f ca="1">IF(I5="","",I5-TODAY())</f>
        <v/>
      </c>
      <c r="K5" s="52" t="str">
        <f ca="1">IF(I5="","",IF(I5&lt;TODAY(),"Vencido",IF(I5-TODAY()&lt;=30,"Próximo a vencer","Vigente")))</f>
        <v/>
      </c>
      <c r="L5" s="17" t="s">
        <v>50</v>
      </c>
      <c r="M5" s="6"/>
      <c r="N5" s="6"/>
      <c r="O5" s="6"/>
      <c r="P5" s="6"/>
      <c r="Q5" s="6"/>
      <c r="R5" s="6"/>
      <c r="S5" s="6"/>
      <c r="T5" s="6" t="s">
        <v>419</v>
      </c>
      <c r="U5" s="6"/>
      <c r="V5" s="6"/>
      <c r="W5" s="6"/>
      <c r="X5" s="6"/>
      <c r="Y5" s="6"/>
      <c r="Z5" s="6"/>
      <c r="AA5" s="6"/>
    </row>
    <row r="6" spans="1:27" ht="18.75">
      <c r="A6" s="94" t="s">
        <v>422</v>
      </c>
      <c r="B6" s="7">
        <v>3</v>
      </c>
      <c r="C6" s="8" t="s">
        <v>333</v>
      </c>
      <c r="D6" s="6"/>
      <c r="E6" s="6"/>
      <c r="F6" s="6"/>
      <c r="G6" s="6"/>
      <c r="H6" s="6"/>
      <c r="I6" s="6"/>
      <c r="J6" s="52" t="str">
        <f ca="1">IF(I6="","",I6-TODAY())</f>
        <v/>
      </c>
      <c r="K6" s="52" t="str">
        <f ca="1">IF(I6="","",IF(I6&lt;TODAY(),"Vencido",IF(I6-TODAY()&lt;=30,"Próximo a vencer","Vigente")))</f>
        <v/>
      </c>
      <c r="L6" s="17" t="s">
        <v>50</v>
      </c>
      <c r="M6" s="6"/>
      <c r="N6" s="6"/>
      <c r="O6" s="6"/>
      <c r="P6" s="6"/>
      <c r="Q6" s="6"/>
      <c r="R6" s="6"/>
      <c r="S6" s="6"/>
      <c r="T6" s="6" t="s">
        <v>419</v>
      </c>
      <c r="U6" s="6"/>
      <c r="V6" s="6"/>
      <c r="W6" s="6"/>
      <c r="X6" s="6"/>
      <c r="Y6" s="6"/>
      <c r="Z6" s="6"/>
      <c r="AA6" s="6"/>
    </row>
    <row r="7" spans="1:27" ht="37.5">
      <c r="A7" s="94" t="s">
        <v>423</v>
      </c>
      <c r="B7" s="7">
        <v>4</v>
      </c>
      <c r="C7" s="8" t="s">
        <v>383</v>
      </c>
      <c r="D7" s="6"/>
      <c r="E7" s="6"/>
      <c r="F7" s="6"/>
      <c r="G7" s="6"/>
      <c r="H7" s="6"/>
      <c r="I7" s="6"/>
      <c r="J7" s="52" t="str">
        <f ca="1">IF(I7="","",I7-TODAY())</f>
        <v/>
      </c>
      <c r="K7" s="52" t="str">
        <f ca="1">IF(I7="","",IF(I7&lt;TODAY(),"Vencido",IF(I7-TODAY()&lt;=30,"Próximo a vencer","Vigente")))</f>
        <v/>
      </c>
      <c r="L7" s="17" t="s">
        <v>50</v>
      </c>
      <c r="M7" s="6"/>
      <c r="N7" s="6"/>
      <c r="O7" s="6"/>
      <c r="P7" s="6"/>
      <c r="Q7" s="6"/>
      <c r="R7" s="6"/>
      <c r="S7" s="6"/>
      <c r="T7" s="6" t="s">
        <v>419</v>
      </c>
      <c r="U7" s="6"/>
      <c r="V7" s="6"/>
      <c r="W7" s="6"/>
      <c r="X7" s="6"/>
      <c r="Y7" s="6"/>
      <c r="Z7" s="6"/>
      <c r="AA7" s="6"/>
    </row>
    <row r="8" spans="1:27" ht="18.75">
      <c r="A8" s="94" t="s">
        <v>424</v>
      </c>
      <c r="B8" s="7">
        <v>5</v>
      </c>
      <c r="C8" s="8" t="s">
        <v>425</v>
      </c>
      <c r="D8" t="s">
        <v>426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E181-7BAD-4A37-98E6-14854D3D4836}">
  <dimension ref="A1:T84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9" defaultRowHeight="15"/>
  <cols>
    <col min="1" max="1" width="16.42578125" style="77" bestFit="1" customWidth="1"/>
    <col min="2" max="2" width="12" style="3" customWidth="1"/>
    <col min="3" max="3" width="36" style="3" bestFit="1" customWidth="1"/>
    <col min="4" max="4" width="46.7109375" style="3" customWidth="1"/>
    <col min="5" max="5" width="12.42578125" style="77" customWidth="1"/>
    <col min="6" max="6" width="12.42578125" style="3" hidden="1" customWidth="1"/>
    <col min="7" max="7" width="11.42578125" style="3" hidden="1" customWidth="1"/>
    <col min="8" max="8" width="26" style="3" hidden="1" customWidth="1"/>
    <col min="9" max="9" width="21.140625" style="3" hidden="1" customWidth="1"/>
    <col min="10" max="10" width="21.140625" style="3" customWidth="1"/>
    <col min="11" max="11" width="33" style="3" bestFit="1" customWidth="1"/>
    <col min="12" max="12" width="21.140625" style="3" customWidth="1"/>
    <col min="13" max="13" width="40.42578125" style="3" customWidth="1"/>
    <col min="14" max="14" width="15.42578125" style="3" bestFit="1" customWidth="1"/>
    <col min="15" max="15" width="12.140625" style="3" customWidth="1"/>
    <col min="16" max="16" width="17.140625" style="3" customWidth="1"/>
    <col min="17" max="17" width="12.5703125" style="3" customWidth="1"/>
    <col min="18" max="18" width="13.7109375" style="3" customWidth="1"/>
    <col min="19" max="19" width="18.140625" style="3" customWidth="1"/>
    <col min="20" max="20" width="18.5703125" style="77" customWidth="1"/>
    <col min="21" max="16384" width="9" style="3"/>
  </cols>
  <sheetData>
    <row r="1" spans="1:20" s="27" customFormat="1" ht="36" customHeight="1">
      <c r="C1" s="45"/>
      <c r="D1" s="27" t="s">
        <v>427</v>
      </c>
      <c r="E1" s="45" t="s">
        <v>428</v>
      </c>
      <c r="F1" s="71">
        <v>1</v>
      </c>
      <c r="I1" s="45" t="s">
        <v>5</v>
      </c>
      <c r="L1" s="45" t="s">
        <v>6</v>
      </c>
      <c r="M1" s="45" t="s">
        <v>416</v>
      </c>
      <c r="N1" s="45" t="s">
        <v>8</v>
      </c>
      <c r="O1" s="45" t="s">
        <v>429</v>
      </c>
      <c r="P1" s="72"/>
      <c r="Q1" s="45"/>
      <c r="R1" s="45"/>
      <c r="S1" s="45"/>
      <c r="T1" s="45"/>
    </row>
    <row r="2" spans="1:20" s="27" customFormat="1" ht="34.5" customHeight="1">
      <c r="A2" s="53" t="s">
        <v>11</v>
      </c>
      <c r="B2" s="49" t="s">
        <v>12</v>
      </c>
      <c r="C2" s="50" t="s">
        <v>13</v>
      </c>
      <c r="D2" s="49" t="s">
        <v>14</v>
      </c>
      <c r="E2" s="53" t="s">
        <v>15</v>
      </c>
      <c r="F2" s="73" t="s">
        <v>16</v>
      </c>
      <c r="G2" s="67" t="s">
        <v>17</v>
      </c>
      <c r="H2" s="67" t="s">
        <v>18</v>
      </c>
      <c r="I2" s="67" t="s">
        <v>19</v>
      </c>
      <c r="J2" s="68" t="s">
        <v>20</v>
      </c>
      <c r="K2" s="68" t="s">
        <v>21</v>
      </c>
      <c r="L2" s="68" t="s">
        <v>22</v>
      </c>
      <c r="M2" s="74" t="s">
        <v>23</v>
      </c>
      <c r="N2" s="74" t="s">
        <v>24</v>
      </c>
      <c r="O2" s="74" t="s">
        <v>25</v>
      </c>
      <c r="P2" s="76" t="s">
        <v>26</v>
      </c>
      <c r="Q2" s="53" t="s">
        <v>27</v>
      </c>
      <c r="R2" s="53" t="s">
        <v>28</v>
      </c>
      <c r="S2" s="53" t="s">
        <v>430</v>
      </c>
      <c r="T2" s="53" t="s">
        <v>30</v>
      </c>
    </row>
    <row r="3" spans="1:20">
      <c r="B3" s="77">
        <v>0</v>
      </c>
      <c r="C3" s="78" t="s">
        <v>35</v>
      </c>
      <c r="L3" s="2" t="s">
        <v>431</v>
      </c>
      <c r="T3" s="81" t="s">
        <v>432</v>
      </c>
    </row>
    <row r="4" spans="1:20">
      <c r="B4" s="77" t="s">
        <v>46</v>
      </c>
      <c r="C4" s="3" t="s">
        <v>47</v>
      </c>
      <c r="L4" s="2" t="s">
        <v>431</v>
      </c>
    </row>
    <row r="5" spans="1:20" ht="30">
      <c r="A5" s="77" t="s">
        <v>433</v>
      </c>
      <c r="B5" s="77" t="s">
        <v>434</v>
      </c>
      <c r="C5" s="3" t="s">
        <v>55</v>
      </c>
      <c r="D5" s="3" t="s">
        <v>435</v>
      </c>
      <c r="L5" s="2" t="s">
        <v>39</v>
      </c>
      <c r="M5" s="47" t="s">
        <v>436</v>
      </c>
      <c r="N5" s="3" t="s">
        <v>437</v>
      </c>
    </row>
    <row r="6" spans="1:20">
      <c r="A6" s="77" t="s">
        <v>438</v>
      </c>
      <c r="B6" s="77"/>
      <c r="D6" s="3" t="s">
        <v>439</v>
      </c>
      <c r="L6" s="2"/>
      <c r="M6" s="47"/>
    </row>
    <row r="7" spans="1:20">
      <c r="B7" s="77" t="s">
        <v>440</v>
      </c>
      <c r="C7" s="3" t="s">
        <v>67</v>
      </c>
      <c r="L7" s="2" t="s">
        <v>50</v>
      </c>
    </row>
    <row r="8" spans="1:20">
      <c r="B8" s="77" t="s">
        <v>441</v>
      </c>
      <c r="C8" s="3" t="s">
        <v>75</v>
      </c>
      <c r="L8" s="2" t="s">
        <v>50</v>
      </c>
    </row>
    <row r="9" spans="1:20" ht="45">
      <c r="B9" s="77">
        <v>1</v>
      </c>
      <c r="C9" s="78" t="s">
        <v>80</v>
      </c>
      <c r="D9" s="3" t="s">
        <v>442</v>
      </c>
      <c r="L9" s="2" t="s">
        <v>50</v>
      </c>
      <c r="M9" s="5" t="s">
        <v>443</v>
      </c>
    </row>
    <row r="10" spans="1:20">
      <c r="B10" s="77" t="s">
        <v>86</v>
      </c>
      <c r="C10" s="79" t="s">
        <v>87</v>
      </c>
      <c r="L10" s="2" t="s">
        <v>431</v>
      </c>
    </row>
    <row r="11" spans="1:20" ht="18" customHeight="1">
      <c r="B11" s="77" t="s">
        <v>91</v>
      </c>
      <c r="C11" s="79" t="s">
        <v>444</v>
      </c>
      <c r="L11" s="2" t="s">
        <v>39</v>
      </c>
      <c r="M11" s="5" t="s">
        <v>436</v>
      </c>
      <c r="N11" s="3" t="s">
        <v>437</v>
      </c>
    </row>
    <row r="12" spans="1:20" ht="18" customHeight="1">
      <c r="A12" s="77" t="s">
        <v>445</v>
      </c>
      <c r="B12" s="77"/>
      <c r="C12" s="79"/>
      <c r="D12" s="5" t="s">
        <v>446</v>
      </c>
      <c r="L12" s="2"/>
      <c r="M12" s="5"/>
    </row>
    <row r="13" spans="1:20" ht="18" customHeight="1">
      <c r="A13" s="77" t="s">
        <v>447</v>
      </c>
      <c r="B13" s="77"/>
      <c r="C13" s="79"/>
      <c r="D13" s="5" t="s">
        <v>448</v>
      </c>
      <c r="L13" s="2" t="s">
        <v>50</v>
      </c>
    </row>
    <row r="14" spans="1:20" ht="18" customHeight="1">
      <c r="A14" s="77" t="s">
        <v>449</v>
      </c>
      <c r="B14" s="77"/>
      <c r="C14" s="79"/>
      <c r="D14" s="3" t="s">
        <v>450</v>
      </c>
      <c r="L14" s="2" t="s">
        <v>50</v>
      </c>
    </row>
    <row r="15" spans="1:20">
      <c r="A15" s="77" t="s">
        <v>451</v>
      </c>
      <c r="B15" s="77"/>
      <c r="C15" s="79"/>
      <c r="D15" s="5" t="s">
        <v>452</v>
      </c>
      <c r="L15" s="2" t="s">
        <v>50</v>
      </c>
    </row>
    <row r="16" spans="1:20">
      <c r="A16" s="77" t="s">
        <v>453</v>
      </c>
      <c r="B16" s="77"/>
      <c r="C16" s="79"/>
      <c r="D16" s="5" t="s">
        <v>454</v>
      </c>
      <c r="L16" s="2" t="s">
        <v>50</v>
      </c>
    </row>
    <row r="17" spans="1:14" ht="30">
      <c r="A17" s="77" t="s">
        <v>455</v>
      </c>
      <c r="B17" s="77"/>
      <c r="C17" s="79"/>
      <c r="D17" s="5" t="s">
        <v>456</v>
      </c>
      <c r="L17" s="2" t="s">
        <v>39</v>
      </c>
      <c r="M17" s="5" t="s">
        <v>436</v>
      </c>
    </row>
    <row r="18" spans="1:14" ht="18.75" customHeight="1">
      <c r="A18" s="77" t="s">
        <v>457</v>
      </c>
      <c r="B18" s="2"/>
      <c r="C18" s="79"/>
      <c r="D18" s="5" t="s">
        <v>458</v>
      </c>
      <c r="L18" s="2" t="s">
        <v>50</v>
      </c>
      <c r="N18" s="3" t="s">
        <v>437</v>
      </c>
    </row>
    <row r="19" spans="1:14">
      <c r="B19" s="77" t="s">
        <v>102</v>
      </c>
      <c r="C19" s="3" t="s">
        <v>103</v>
      </c>
      <c r="L19" s="2" t="s">
        <v>431</v>
      </c>
    </row>
    <row r="20" spans="1:14">
      <c r="B20" s="77" t="s">
        <v>108</v>
      </c>
      <c r="C20" s="3" t="s">
        <v>109</v>
      </c>
      <c r="L20" s="2" t="s">
        <v>431</v>
      </c>
    </row>
    <row r="21" spans="1:14">
      <c r="B21" s="77" t="s">
        <v>113</v>
      </c>
      <c r="C21" s="3" t="s">
        <v>459</v>
      </c>
      <c r="D21" s="3" t="s">
        <v>460</v>
      </c>
      <c r="L21" s="2" t="s">
        <v>50</v>
      </c>
    </row>
    <row r="22" spans="1:14">
      <c r="B22" s="77" t="s">
        <v>120</v>
      </c>
      <c r="C22" s="3" t="s">
        <v>121</v>
      </c>
      <c r="D22" s="3" t="s">
        <v>461</v>
      </c>
      <c r="L22" s="2" t="s">
        <v>50</v>
      </c>
    </row>
    <row r="23" spans="1:14">
      <c r="B23" s="77" t="s">
        <v>128</v>
      </c>
      <c r="C23" s="79" t="s">
        <v>129</v>
      </c>
      <c r="L23" s="2" t="s">
        <v>50</v>
      </c>
    </row>
    <row r="24" spans="1:14">
      <c r="A24" s="77" t="s">
        <v>462</v>
      </c>
      <c r="B24" s="77"/>
      <c r="C24" s="79"/>
      <c r="D24" s="3" t="s">
        <v>463</v>
      </c>
      <c r="L24" s="2"/>
    </row>
    <row r="25" spans="1:14">
      <c r="A25" s="77" t="s">
        <v>464</v>
      </c>
      <c r="B25" s="77"/>
      <c r="C25" s="79"/>
      <c r="D25" s="3" t="s">
        <v>465</v>
      </c>
      <c r="L25" s="2" t="s">
        <v>50</v>
      </c>
    </row>
    <row r="26" spans="1:14">
      <c r="A26" s="77" t="s">
        <v>466</v>
      </c>
      <c r="B26" s="77"/>
      <c r="C26" s="79"/>
      <c r="D26" s="3" t="s">
        <v>467</v>
      </c>
      <c r="L26" s="2" t="s">
        <v>50</v>
      </c>
    </row>
    <row r="27" spans="1:14">
      <c r="A27" s="77" t="s">
        <v>468</v>
      </c>
      <c r="B27" s="2"/>
      <c r="C27" s="79"/>
      <c r="D27" s="3" t="s">
        <v>469</v>
      </c>
      <c r="L27" s="2" t="s">
        <v>50</v>
      </c>
    </row>
    <row r="28" spans="1:14">
      <c r="B28" s="77" t="s">
        <v>137</v>
      </c>
      <c r="C28" s="3" t="s">
        <v>138</v>
      </c>
      <c r="L28" s="2" t="s">
        <v>431</v>
      </c>
    </row>
    <row r="29" spans="1:14">
      <c r="B29" s="77" t="s">
        <v>142</v>
      </c>
      <c r="C29" s="3" t="s">
        <v>143</v>
      </c>
      <c r="L29" s="2" t="s">
        <v>431</v>
      </c>
    </row>
    <row r="30" spans="1:14">
      <c r="B30" s="77" t="s">
        <v>147</v>
      </c>
      <c r="C30" s="79" t="s">
        <v>148</v>
      </c>
      <c r="L30" s="2" t="s">
        <v>50</v>
      </c>
    </row>
    <row r="31" spans="1:14">
      <c r="A31" s="77" t="s">
        <v>470</v>
      </c>
      <c r="B31" s="77"/>
      <c r="C31" s="79"/>
      <c r="D31" s="3" t="s">
        <v>471</v>
      </c>
      <c r="L31" s="2"/>
    </row>
    <row r="32" spans="1:14">
      <c r="A32" s="77" t="s">
        <v>472</v>
      </c>
      <c r="B32" s="2"/>
      <c r="C32" s="79"/>
      <c r="D32" s="3" t="s">
        <v>473</v>
      </c>
      <c r="L32" s="2" t="s">
        <v>50</v>
      </c>
    </row>
    <row r="33" spans="1:12">
      <c r="B33" s="77" t="s">
        <v>155</v>
      </c>
      <c r="C33" s="4" t="s">
        <v>156</v>
      </c>
      <c r="L33" s="2" t="s">
        <v>431</v>
      </c>
    </row>
    <row r="34" spans="1:12">
      <c r="B34" s="77" t="s">
        <v>160</v>
      </c>
      <c r="C34" s="3" t="s">
        <v>161</v>
      </c>
      <c r="L34" s="2" t="s">
        <v>431</v>
      </c>
    </row>
    <row r="35" spans="1:12">
      <c r="B35" s="77" t="s">
        <v>164</v>
      </c>
      <c r="C35" s="79" t="s">
        <v>165</v>
      </c>
      <c r="L35" s="2" t="s">
        <v>50</v>
      </c>
    </row>
    <row r="36" spans="1:12">
      <c r="A36" s="77" t="s">
        <v>474</v>
      </c>
      <c r="B36" s="77"/>
      <c r="C36" s="79"/>
      <c r="D36" s="3" t="s">
        <v>475</v>
      </c>
      <c r="L36" s="2"/>
    </row>
    <row r="37" spans="1:12">
      <c r="A37" s="77" t="s">
        <v>476</v>
      </c>
      <c r="B37" s="77"/>
      <c r="C37" s="79"/>
      <c r="D37" s="3" t="s">
        <v>477</v>
      </c>
      <c r="E37" s="3"/>
      <c r="L37" s="2" t="s">
        <v>50</v>
      </c>
    </row>
    <row r="38" spans="1:12" ht="30">
      <c r="A38" s="77" t="s">
        <v>478</v>
      </c>
      <c r="B38" s="77"/>
      <c r="C38" s="79"/>
      <c r="D38" s="5" t="s">
        <v>479</v>
      </c>
      <c r="L38" s="2" t="s">
        <v>50</v>
      </c>
    </row>
    <row r="39" spans="1:12" ht="30">
      <c r="A39" s="77" t="s">
        <v>480</v>
      </c>
      <c r="B39" s="2"/>
      <c r="C39" s="79"/>
      <c r="D39" s="5" t="s">
        <v>481</v>
      </c>
      <c r="L39" s="2" t="s">
        <v>50</v>
      </c>
    </row>
    <row r="40" spans="1:12">
      <c r="A40" s="2" t="s">
        <v>482</v>
      </c>
      <c r="B40" s="10" t="s">
        <v>172</v>
      </c>
      <c r="C40" s="9" t="s">
        <v>173</v>
      </c>
      <c r="D40" s="3" t="s">
        <v>483</v>
      </c>
      <c r="L40" s="2" t="s">
        <v>50</v>
      </c>
    </row>
    <row r="41" spans="1:12">
      <c r="B41" s="77" t="s">
        <v>179</v>
      </c>
      <c r="C41" s="3" t="s">
        <v>180</v>
      </c>
      <c r="L41" s="2" t="s">
        <v>431</v>
      </c>
    </row>
    <row r="42" spans="1:12" ht="45">
      <c r="A42" s="77" t="s">
        <v>484</v>
      </c>
      <c r="B42" s="77" t="s">
        <v>185</v>
      </c>
      <c r="C42" s="79" t="s">
        <v>186</v>
      </c>
      <c r="D42" s="5" t="s">
        <v>485</v>
      </c>
      <c r="L42" s="2" t="s">
        <v>50</v>
      </c>
    </row>
    <row r="43" spans="1:12">
      <c r="B43" s="77" t="s">
        <v>191</v>
      </c>
      <c r="C43" s="3" t="s">
        <v>192</v>
      </c>
      <c r="L43" s="2" t="s">
        <v>431</v>
      </c>
    </row>
    <row r="44" spans="1:12">
      <c r="B44" s="77" t="s">
        <v>196</v>
      </c>
      <c r="C44" s="79" t="s">
        <v>197</v>
      </c>
      <c r="L44" s="2" t="s">
        <v>50</v>
      </c>
    </row>
    <row r="45" spans="1:12">
      <c r="B45" s="77" t="s">
        <v>203</v>
      </c>
      <c r="C45" s="3" t="s">
        <v>204</v>
      </c>
      <c r="L45" s="2" t="s">
        <v>431</v>
      </c>
    </row>
    <row r="46" spans="1:12">
      <c r="B46" s="77" t="s">
        <v>210</v>
      </c>
      <c r="C46" s="79" t="s">
        <v>211</v>
      </c>
      <c r="L46" s="2" t="s">
        <v>50</v>
      </c>
    </row>
    <row r="47" spans="1:12">
      <c r="B47" s="77" t="s">
        <v>216</v>
      </c>
      <c r="C47" s="3" t="s">
        <v>217</v>
      </c>
      <c r="L47" s="2" t="s">
        <v>431</v>
      </c>
    </row>
    <row r="48" spans="1:12">
      <c r="B48" s="77"/>
      <c r="C48" s="3" t="s">
        <v>222</v>
      </c>
      <c r="L48" s="2" t="s">
        <v>431</v>
      </c>
    </row>
    <row r="49" spans="1:13">
      <c r="B49" s="77">
        <v>2</v>
      </c>
      <c r="C49" s="78" t="s">
        <v>226</v>
      </c>
      <c r="L49" s="2" t="s">
        <v>431</v>
      </c>
    </row>
    <row r="50" spans="1:13">
      <c r="A50" s="77" t="s">
        <v>486</v>
      </c>
      <c r="B50" s="77" t="s">
        <v>234</v>
      </c>
      <c r="C50" s="79" t="s">
        <v>235</v>
      </c>
      <c r="D50" s="3" t="s">
        <v>487</v>
      </c>
      <c r="L50" s="2" t="s">
        <v>488</v>
      </c>
      <c r="M50" s="95" t="s">
        <v>489</v>
      </c>
    </row>
    <row r="51" spans="1:13">
      <c r="B51" s="77" t="s">
        <v>241</v>
      </c>
      <c r="C51" s="3" t="s">
        <v>242</v>
      </c>
      <c r="L51" s="2" t="s">
        <v>431</v>
      </c>
    </row>
    <row r="52" spans="1:13">
      <c r="B52" s="77" t="s">
        <v>247</v>
      </c>
      <c r="C52" s="3" t="s">
        <v>248</v>
      </c>
      <c r="L52" s="2" t="s">
        <v>431</v>
      </c>
    </row>
    <row r="53" spans="1:13">
      <c r="B53" s="77" t="s">
        <v>252</v>
      </c>
      <c r="C53" s="3" t="s">
        <v>253</v>
      </c>
      <c r="L53" s="2" t="s">
        <v>431</v>
      </c>
    </row>
    <row r="54" spans="1:13">
      <c r="B54" s="77" t="s">
        <v>259</v>
      </c>
      <c r="C54" s="3" t="s">
        <v>260</v>
      </c>
      <c r="L54" s="2" t="s">
        <v>431</v>
      </c>
    </row>
    <row r="55" spans="1:13" ht="30">
      <c r="A55" s="77" t="s">
        <v>490</v>
      </c>
      <c r="B55" s="77" t="s">
        <v>263</v>
      </c>
      <c r="C55" s="3" t="s">
        <v>264</v>
      </c>
      <c r="D55" s="5" t="s">
        <v>491</v>
      </c>
      <c r="L55" s="2" t="s">
        <v>50</v>
      </c>
    </row>
    <row r="56" spans="1:13">
      <c r="B56" s="77" t="s">
        <v>268</v>
      </c>
      <c r="C56" s="3" t="s">
        <v>269</v>
      </c>
      <c r="L56" s="2" t="s">
        <v>50</v>
      </c>
    </row>
    <row r="57" spans="1:13">
      <c r="B57" s="77" t="s">
        <v>272</v>
      </c>
      <c r="C57" s="3" t="s">
        <v>273</v>
      </c>
      <c r="D57" s="3" t="s">
        <v>492</v>
      </c>
      <c r="L57" s="2" t="s">
        <v>493</v>
      </c>
    </row>
    <row r="58" spans="1:13">
      <c r="B58" s="77" t="s">
        <v>277</v>
      </c>
      <c r="C58" s="79" t="s">
        <v>278</v>
      </c>
      <c r="L58" s="2" t="s">
        <v>50</v>
      </c>
    </row>
    <row r="59" spans="1:13">
      <c r="B59" s="77" t="s">
        <v>287</v>
      </c>
      <c r="C59" s="3" t="s">
        <v>288</v>
      </c>
      <c r="L59" s="2" t="s">
        <v>431</v>
      </c>
    </row>
    <row r="60" spans="1:13">
      <c r="B60" s="17" t="s">
        <v>292</v>
      </c>
      <c r="C60" s="3" t="s">
        <v>293</v>
      </c>
      <c r="L60" s="2" t="s">
        <v>431</v>
      </c>
    </row>
    <row r="61" spans="1:13">
      <c r="B61" s="77" t="s">
        <v>299</v>
      </c>
      <c r="C61" s="3" t="s">
        <v>300</v>
      </c>
      <c r="L61" s="2" t="s">
        <v>431</v>
      </c>
    </row>
    <row r="62" spans="1:13">
      <c r="B62" s="77" t="s">
        <v>306</v>
      </c>
      <c r="C62" s="3" t="s">
        <v>2</v>
      </c>
      <c r="L62" s="2" t="s">
        <v>431</v>
      </c>
    </row>
    <row r="63" spans="1:13">
      <c r="B63" s="77" t="s">
        <v>310</v>
      </c>
      <c r="C63" s="3" t="s">
        <v>311</v>
      </c>
      <c r="L63" s="2" t="s">
        <v>431</v>
      </c>
    </row>
    <row r="64" spans="1:13">
      <c r="B64" s="77" t="s">
        <v>315</v>
      </c>
      <c r="C64" s="79" t="s">
        <v>316</v>
      </c>
      <c r="L64" s="2" t="s">
        <v>50</v>
      </c>
    </row>
    <row r="65" spans="2:12">
      <c r="B65" s="77" t="s">
        <v>324</v>
      </c>
      <c r="C65" s="3" t="s">
        <v>325</v>
      </c>
      <c r="L65" s="2" t="s">
        <v>431</v>
      </c>
    </row>
    <row r="66" spans="2:12">
      <c r="B66" s="77" t="s">
        <v>329</v>
      </c>
      <c r="C66" s="3" t="s">
        <v>330</v>
      </c>
      <c r="L66" s="2" t="s">
        <v>431</v>
      </c>
    </row>
    <row r="67" spans="2:12">
      <c r="B67" s="77">
        <v>3</v>
      </c>
      <c r="C67" s="78" t="s">
        <v>333</v>
      </c>
      <c r="L67" s="2" t="s">
        <v>431</v>
      </c>
    </row>
    <row r="68" spans="2:12">
      <c r="B68" s="77" t="s">
        <v>339</v>
      </c>
      <c r="C68" s="79" t="s">
        <v>340</v>
      </c>
      <c r="L68" s="2" t="s">
        <v>50</v>
      </c>
    </row>
    <row r="69" spans="2:12">
      <c r="B69" s="77" t="s">
        <v>344</v>
      </c>
      <c r="C69" s="3" t="s">
        <v>345</v>
      </c>
      <c r="L69" s="2" t="s">
        <v>431</v>
      </c>
    </row>
    <row r="70" spans="2:12" ht="30">
      <c r="B70" s="77" t="s">
        <v>349</v>
      </c>
      <c r="C70" s="5" t="s">
        <v>350</v>
      </c>
      <c r="L70" s="2" t="s">
        <v>431</v>
      </c>
    </row>
    <row r="71" spans="2:12">
      <c r="B71" s="77" t="s">
        <v>357</v>
      </c>
      <c r="C71" s="79" t="s">
        <v>358</v>
      </c>
      <c r="L71" s="2" t="s">
        <v>50</v>
      </c>
    </row>
    <row r="72" spans="2:12">
      <c r="B72" s="77" t="s">
        <v>363</v>
      </c>
      <c r="C72" s="3" t="s">
        <v>364</v>
      </c>
      <c r="L72" s="2" t="s">
        <v>431</v>
      </c>
    </row>
    <row r="73" spans="2:12">
      <c r="B73" s="77" t="s">
        <v>367</v>
      </c>
      <c r="C73" s="3" t="s">
        <v>368</v>
      </c>
      <c r="L73" s="2" t="s">
        <v>431</v>
      </c>
    </row>
    <row r="74" spans="2:12">
      <c r="B74" s="77" t="s">
        <v>373</v>
      </c>
      <c r="C74" s="3" t="s">
        <v>374</v>
      </c>
      <c r="L74" s="2" t="s">
        <v>431</v>
      </c>
    </row>
    <row r="75" spans="2:12">
      <c r="B75" s="77" t="s">
        <v>379</v>
      </c>
      <c r="C75" s="79" t="s">
        <v>380</v>
      </c>
      <c r="L75" s="2" t="s">
        <v>431</v>
      </c>
    </row>
    <row r="76" spans="2:12">
      <c r="B76" s="80">
        <v>4</v>
      </c>
      <c r="C76" s="78" t="s">
        <v>383</v>
      </c>
      <c r="L76" s="2" t="s">
        <v>431</v>
      </c>
    </row>
    <row r="77" spans="2:12">
      <c r="B77" s="77" t="s">
        <v>389</v>
      </c>
      <c r="C77" s="3" t="s">
        <v>390</v>
      </c>
      <c r="L77" s="2" t="s">
        <v>50</v>
      </c>
    </row>
    <row r="78" spans="2:12">
      <c r="B78" s="77" t="s">
        <v>395</v>
      </c>
      <c r="C78" s="3" t="s">
        <v>396</v>
      </c>
      <c r="L78" s="2" t="s">
        <v>50</v>
      </c>
    </row>
    <row r="79" spans="2:12">
      <c r="B79" s="77" t="s">
        <v>400</v>
      </c>
      <c r="C79" s="3" t="s">
        <v>401</v>
      </c>
      <c r="L79" s="2" t="s">
        <v>50</v>
      </c>
    </row>
    <row r="80" spans="2:12">
      <c r="B80" s="77" t="s">
        <v>405</v>
      </c>
      <c r="C80" s="3" t="s">
        <v>406</v>
      </c>
      <c r="L80" s="2" t="s">
        <v>50</v>
      </c>
    </row>
    <row r="81" spans="1:12">
      <c r="B81" s="2" t="s">
        <v>411</v>
      </c>
      <c r="C81" t="s">
        <v>412</v>
      </c>
      <c r="L81" s="2" t="s">
        <v>50</v>
      </c>
    </row>
    <row r="82" spans="1:12">
      <c r="B82" s="2">
        <v>5</v>
      </c>
      <c r="C82" s="3" t="s">
        <v>494</v>
      </c>
    </row>
    <row r="83" spans="1:12">
      <c r="A83" s="77" t="s">
        <v>495</v>
      </c>
      <c r="B83" s="77"/>
      <c r="D83" s="3" t="s">
        <v>496</v>
      </c>
    </row>
    <row r="84" spans="1:12" ht="16.5" customHeight="1">
      <c r="A84" s="77" t="s">
        <v>497</v>
      </c>
      <c r="B84" s="77"/>
      <c r="D84" s="5" t="s">
        <v>498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898C-A1A3-473A-8C03-6E9B04782E14}">
  <dimension ref="A1:T63"/>
  <sheetViews>
    <sheetView workbookViewId="0">
      <selection activeCell="C13" sqref="C13"/>
    </sheetView>
  </sheetViews>
  <sheetFormatPr baseColWidth="10" defaultColWidth="9" defaultRowHeight="15"/>
  <cols>
    <col min="1" max="1" width="11.42578125" style="77" bestFit="1" customWidth="1"/>
    <col min="2" max="2" width="12" style="3" customWidth="1"/>
    <col min="3" max="3" width="36" style="3" bestFit="1" customWidth="1"/>
    <col min="4" max="4" width="31" style="3" customWidth="1"/>
    <col min="5" max="5" width="12.42578125" style="3" customWidth="1"/>
    <col min="6" max="6" width="18.7109375" style="3" customWidth="1"/>
    <col min="7" max="7" width="11.42578125" style="3" customWidth="1"/>
    <col min="8" max="8" width="26" style="3" customWidth="1"/>
    <col min="9" max="10" width="21.140625" style="3" customWidth="1"/>
    <col min="11" max="11" width="33" style="3" bestFit="1" customWidth="1"/>
    <col min="12" max="12" width="21.140625" style="3" customWidth="1"/>
    <col min="13" max="13" width="23.85546875" style="3" customWidth="1"/>
    <col min="14" max="14" width="15.42578125" style="3" bestFit="1" customWidth="1"/>
    <col min="15" max="15" width="12.140625" style="3" customWidth="1"/>
    <col min="16" max="16" width="17.140625" style="3" customWidth="1"/>
    <col min="17" max="17" width="12.5703125" style="3" customWidth="1"/>
    <col min="18" max="18" width="13.7109375" style="3" customWidth="1"/>
    <col min="19" max="19" width="18.140625" style="3" customWidth="1"/>
    <col min="20" max="20" width="18.5703125" style="77" customWidth="1"/>
    <col min="21" max="16384" width="9" style="3"/>
  </cols>
  <sheetData>
    <row r="1" spans="1:20" s="27" customFormat="1" ht="36" customHeight="1">
      <c r="C1" s="45"/>
      <c r="D1" s="27" t="s">
        <v>499</v>
      </c>
      <c r="E1" s="45" t="s">
        <v>4</v>
      </c>
      <c r="F1" s="71">
        <v>1</v>
      </c>
      <c r="I1" s="45" t="s">
        <v>5</v>
      </c>
      <c r="L1" s="45" t="s">
        <v>6</v>
      </c>
      <c r="M1" s="45" t="s">
        <v>416</v>
      </c>
      <c r="N1" s="45" t="s">
        <v>8</v>
      </c>
      <c r="O1" s="45" t="s">
        <v>9</v>
      </c>
      <c r="P1" s="72"/>
      <c r="Q1" s="45"/>
      <c r="R1" s="45"/>
      <c r="S1" s="45"/>
      <c r="T1" s="45"/>
    </row>
    <row r="2" spans="1:20" s="27" customFormat="1" ht="34.5" customHeight="1">
      <c r="A2" s="53" t="s">
        <v>11</v>
      </c>
      <c r="B2" s="49" t="s">
        <v>12</v>
      </c>
      <c r="C2" s="50" t="s">
        <v>13</v>
      </c>
      <c r="D2" s="49" t="s">
        <v>14</v>
      </c>
      <c r="E2" s="53" t="s">
        <v>15</v>
      </c>
      <c r="F2" s="73" t="s">
        <v>16</v>
      </c>
      <c r="G2" s="74" t="s">
        <v>17</v>
      </c>
      <c r="H2" s="74" t="s">
        <v>18</v>
      </c>
      <c r="I2" s="74" t="s">
        <v>19</v>
      </c>
      <c r="J2" s="75" t="s">
        <v>20</v>
      </c>
      <c r="K2" s="75" t="s">
        <v>21</v>
      </c>
      <c r="L2" s="68" t="s">
        <v>22</v>
      </c>
      <c r="M2" s="74" t="s">
        <v>23</v>
      </c>
      <c r="N2" s="74" t="s">
        <v>24</v>
      </c>
      <c r="O2" s="74" t="s">
        <v>25</v>
      </c>
      <c r="P2" s="76" t="s">
        <v>26</v>
      </c>
      <c r="Q2" s="53" t="s">
        <v>27</v>
      </c>
      <c r="R2" s="53" t="s">
        <v>28</v>
      </c>
      <c r="S2" s="53" t="s">
        <v>29</v>
      </c>
      <c r="T2" s="53" t="s">
        <v>30</v>
      </c>
    </row>
    <row r="3" spans="1:20">
      <c r="B3" s="77">
        <v>0</v>
      </c>
      <c r="C3" s="78" t="s">
        <v>35</v>
      </c>
      <c r="D3" s="90" t="s">
        <v>35</v>
      </c>
      <c r="L3" s="17" t="s">
        <v>50</v>
      </c>
      <c r="T3" s="81" t="s">
        <v>432</v>
      </c>
    </row>
    <row r="4" spans="1:20">
      <c r="A4" s="96" t="s">
        <v>500</v>
      </c>
      <c r="B4" s="77" t="s">
        <v>46</v>
      </c>
      <c r="C4" s="3" t="s">
        <v>47</v>
      </c>
      <c r="D4" s="91" t="s">
        <v>47</v>
      </c>
      <c r="L4" s="17" t="s">
        <v>50</v>
      </c>
    </row>
    <row r="5" spans="1:20">
      <c r="B5" s="77" t="s">
        <v>54</v>
      </c>
      <c r="C5" s="3" t="s">
        <v>55</v>
      </c>
      <c r="D5" s="91" t="s">
        <v>55</v>
      </c>
      <c r="L5" s="17" t="s">
        <v>50</v>
      </c>
    </row>
    <row r="6" spans="1:20">
      <c r="B6" s="77" t="s">
        <v>66</v>
      </c>
      <c r="C6" s="3" t="s">
        <v>67</v>
      </c>
      <c r="D6" s="91" t="s">
        <v>67</v>
      </c>
      <c r="L6" s="17" t="s">
        <v>50</v>
      </c>
    </row>
    <row r="7" spans="1:20">
      <c r="B7" s="77" t="s">
        <v>74</v>
      </c>
      <c r="C7" s="3" t="s">
        <v>75</v>
      </c>
      <c r="D7" s="91" t="s">
        <v>75</v>
      </c>
      <c r="L7" s="17" t="s">
        <v>50</v>
      </c>
    </row>
    <row r="8" spans="1:20">
      <c r="B8" s="77">
        <v>1</v>
      </c>
      <c r="C8" s="78" t="s">
        <v>80</v>
      </c>
      <c r="D8" s="90" t="s">
        <v>80</v>
      </c>
      <c r="L8" s="17" t="s">
        <v>50</v>
      </c>
    </row>
    <row r="9" spans="1:20">
      <c r="B9" s="77" t="s">
        <v>86</v>
      </c>
      <c r="C9" s="79" t="s">
        <v>87</v>
      </c>
      <c r="D9" s="90" t="s">
        <v>87</v>
      </c>
      <c r="L9" s="17" t="s">
        <v>50</v>
      </c>
    </row>
    <row r="10" spans="1:20">
      <c r="B10" s="77" t="s">
        <v>91</v>
      </c>
      <c r="C10" s="79" t="s">
        <v>92</v>
      </c>
      <c r="D10" s="90" t="s">
        <v>92</v>
      </c>
      <c r="L10" s="17" t="s">
        <v>50</v>
      </c>
    </row>
    <row r="11" spans="1:20">
      <c r="B11" s="77" t="s">
        <v>102</v>
      </c>
      <c r="C11" s="3" t="s">
        <v>103</v>
      </c>
      <c r="D11" s="91" t="s">
        <v>103</v>
      </c>
      <c r="L11" s="17" t="s">
        <v>50</v>
      </c>
    </row>
    <row r="12" spans="1:20">
      <c r="B12" s="77" t="s">
        <v>108</v>
      </c>
      <c r="C12" s="3" t="s">
        <v>109</v>
      </c>
      <c r="D12" s="91" t="s">
        <v>109</v>
      </c>
      <c r="L12" s="17" t="s">
        <v>50</v>
      </c>
    </row>
    <row r="13" spans="1:20">
      <c r="B13" s="77" t="s">
        <v>113</v>
      </c>
      <c r="C13" s="3" t="s">
        <v>459</v>
      </c>
      <c r="D13" s="91" t="s">
        <v>459</v>
      </c>
      <c r="L13" s="17" t="s">
        <v>50</v>
      </c>
    </row>
    <row r="14" spans="1:20">
      <c r="B14" s="77" t="s">
        <v>120</v>
      </c>
      <c r="C14" s="3" t="s">
        <v>121</v>
      </c>
      <c r="D14" s="91" t="s">
        <v>121</v>
      </c>
      <c r="L14" s="17" t="s">
        <v>50</v>
      </c>
    </row>
    <row r="15" spans="1:20">
      <c r="B15" s="77" t="s">
        <v>128</v>
      </c>
      <c r="C15" s="79" t="s">
        <v>129</v>
      </c>
      <c r="D15" s="90" t="s">
        <v>129</v>
      </c>
      <c r="L15" s="17" t="s">
        <v>50</v>
      </c>
    </row>
    <row r="16" spans="1:20">
      <c r="B16" s="77" t="s">
        <v>137</v>
      </c>
      <c r="C16" s="3" t="s">
        <v>138</v>
      </c>
      <c r="D16" s="91" t="s">
        <v>138</v>
      </c>
      <c r="L16" s="17" t="s">
        <v>50</v>
      </c>
    </row>
    <row r="17" spans="1:12">
      <c r="B17" s="77" t="s">
        <v>142</v>
      </c>
      <c r="C17" s="3" t="s">
        <v>143</v>
      </c>
      <c r="D17" s="91" t="s">
        <v>143</v>
      </c>
      <c r="L17" s="17" t="s">
        <v>50</v>
      </c>
    </row>
    <row r="18" spans="1:12">
      <c r="B18" s="77" t="s">
        <v>147</v>
      </c>
      <c r="C18" s="79" t="s">
        <v>148</v>
      </c>
      <c r="D18" s="90" t="s">
        <v>148</v>
      </c>
      <c r="L18" s="17" t="s">
        <v>50</v>
      </c>
    </row>
    <row r="19" spans="1:12">
      <c r="B19" s="77" t="s">
        <v>155</v>
      </c>
      <c r="C19" s="4" t="s">
        <v>156</v>
      </c>
      <c r="D19" s="91" t="s">
        <v>156</v>
      </c>
      <c r="L19" s="17" t="s">
        <v>50</v>
      </c>
    </row>
    <row r="20" spans="1:12">
      <c r="B20" s="77" t="s">
        <v>160</v>
      </c>
      <c r="C20" s="3" t="s">
        <v>161</v>
      </c>
      <c r="D20" s="91" t="s">
        <v>161</v>
      </c>
      <c r="L20" s="17" t="s">
        <v>50</v>
      </c>
    </row>
    <row r="21" spans="1:12">
      <c r="B21" s="77" t="s">
        <v>164</v>
      </c>
      <c r="C21" s="79" t="s">
        <v>165</v>
      </c>
      <c r="D21" s="90" t="s">
        <v>165</v>
      </c>
      <c r="L21" s="17" t="s">
        <v>50</v>
      </c>
    </row>
    <row r="22" spans="1:12">
      <c r="A22" s="10"/>
      <c r="B22" s="10" t="s">
        <v>172</v>
      </c>
      <c r="C22" s="9" t="s">
        <v>173</v>
      </c>
      <c r="D22" s="91" t="s">
        <v>173</v>
      </c>
      <c r="L22" s="17" t="s">
        <v>50</v>
      </c>
    </row>
    <row r="23" spans="1:12">
      <c r="B23" s="77" t="s">
        <v>179</v>
      </c>
      <c r="C23" s="3" t="s">
        <v>180</v>
      </c>
      <c r="D23" s="91" t="s">
        <v>180</v>
      </c>
      <c r="L23" s="17" t="s">
        <v>50</v>
      </c>
    </row>
    <row r="24" spans="1:12">
      <c r="B24" s="77" t="s">
        <v>185</v>
      </c>
      <c r="C24" s="79" t="s">
        <v>186</v>
      </c>
      <c r="D24" s="90" t="s">
        <v>186</v>
      </c>
      <c r="L24" s="17" t="s">
        <v>50</v>
      </c>
    </row>
    <row r="25" spans="1:12">
      <c r="B25" s="77" t="s">
        <v>191</v>
      </c>
      <c r="C25" s="3" t="s">
        <v>192</v>
      </c>
      <c r="D25" s="91" t="s">
        <v>192</v>
      </c>
      <c r="L25" s="17" t="s">
        <v>50</v>
      </c>
    </row>
    <row r="26" spans="1:12">
      <c r="B26" s="77" t="s">
        <v>196</v>
      </c>
      <c r="C26" s="79" t="s">
        <v>197</v>
      </c>
      <c r="D26" s="90" t="s">
        <v>197</v>
      </c>
      <c r="L26" s="17" t="s">
        <v>50</v>
      </c>
    </row>
    <row r="27" spans="1:12">
      <c r="B27" s="77" t="s">
        <v>203</v>
      </c>
      <c r="C27" s="3" t="s">
        <v>204</v>
      </c>
      <c r="D27" s="91" t="s">
        <v>204</v>
      </c>
      <c r="L27" s="17" t="s">
        <v>50</v>
      </c>
    </row>
    <row r="28" spans="1:12">
      <c r="B28" s="77" t="s">
        <v>210</v>
      </c>
      <c r="C28" s="79" t="s">
        <v>211</v>
      </c>
      <c r="D28" s="90" t="s">
        <v>211</v>
      </c>
      <c r="L28" s="17" t="s">
        <v>50</v>
      </c>
    </row>
    <row r="29" spans="1:12">
      <c r="B29" s="77" t="s">
        <v>216</v>
      </c>
      <c r="C29" s="3" t="s">
        <v>217</v>
      </c>
      <c r="D29" s="91" t="s">
        <v>217</v>
      </c>
      <c r="L29" s="17" t="s">
        <v>50</v>
      </c>
    </row>
    <row r="30" spans="1:12">
      <c r="B30" s="77"/>
      <c r="C30" s="78" t="s">
        <v>222</v>
      </c>
      <c r="D30" s="90" t="s">
        <v>222</v>
      </c>
      <c r="L30" s="17" t="s">
        <v>50</v>
      </c>
    </row>
    <row r="31" spans="1:12">
      <c r="B31" s="77">
        <v>2</v>
      </c>
      <c r="C31" s="79" t="s">
        <v>226</v>
      </c>
      <c r="D31" s="90" t="s">
        <v>226</v>
      </c>
      <c r="L31" s="17" t="s">
        <v>50</v>
      </c>
    </row>
    <row r="32" spans="1:12">
      <c r="B32" s="77" t="s">
        <v>234</v>
      </c>
      <c r="C32" s="3" t="s">
        <v>235</v>
      </c>
      <c r="D32" s="91" t="s">
        <v>235</v>
      </c>
      <c r="L32" s="17" t="s">
        <v>50</v>
      </c>
    </row>
    <row r="33" spans="2:12">
      <c r="B33" s="77" t="s">
        <v>241</v>
      </c>
      <c r="C33" s="3" t="s">
        <v>242</v>
      </c>
      <c r="D33" s="91" t="s">
        <v>242</v>
      </c>
      <c r="L33" s="17" t="s">
        <v>50</v>
      </c>
    </row>
    <row r="34" spans="2:12">
      <c r="B34" s="77" t="s">
        <v>247</v>
      </c>
      <c r="C34" s="3" t="s">
        <v>248</v>
      </c>
      <c r="D34" s="91" t="s">
        <v>248</v>
      </c>
      <c r="L34" s="17" t="s">
        <v>50</v>
      </c>
    </row>
    <row r="35" spans="2:12">
      <c r="B35" s="77" t="s">
        <v>252</v>
      </c>
      <c r="C35" s="3" t="s">
        <v>253</v>
      </c>
      <c r="D35" s="91" t="s">
        <v>253</v>
      </c>
      <c r="L35" s="17" t="s">
        <v>50</v>
      </c>
    </row>
    <row r="36" spans="2:12">
      <c r="B36" s="77" t="s">
        <v>259</v>
      </c>
      <c r="C36" s="3" t="s">
        <v>260</v>
      </c>
      <c r="D36" s="91" t="s">
        <v>260</v>
      </c>
      <c r="L36" s="17" t="s">
        <v>50</v>
      </c>
    </row>
    <row r="37" spans="2:12">
      <c r="B37" s="77" t="s">
        <v>263</v>
      </c>
      <c r="C37" s="3" t="s">
        <v>269</v>
      </c>
      <c r="D37" s="91" t="s">
        <v>269</v>
      </c>
      <c r="L37" s="17" t="s">
        <v>50</v>
      </c>
    </row>
    <row r="38" spans="2:12">
      <c r="B38" s="77" t="s">
        <v>268</v>
      </c>
      <c r="C38" s="79" t="s">
        <v>501</v>
      </c>
      <c r="D38" s="90" t="s">
        <v>501</v>
      </c>
      <c r="L38" s="17" t="s">
        <v>50</v>
      </c>
    </row>
    <row r="39" spans="2:12">
      <c r="B39" s="77" t="s">
        <v>272</v>
      </c>
      <c r="C39" s="3" t="s">
        <v>273</v>
      </c>
      <c r="D39" s="91" t="s">
        <v>273</v>
      </c>
      <c r="L39" s="17" t="s">
        <v>50</v>
      </c>
    </row>
    <row r="40" spans="2:12">
      <c r="B40" s="77" t="s">
        <v>277</v>
      </c>
      <c r="C40" s="3" t="s">
        <v>278</v>
      </c>
      <c r="D40" s="91" t="s">
        <v>278</v>
      </c>
      <c r="L40" s="17" t="s">
        <v>50</v>
      </c>
    </row>
    <row r="41" spans="2:12">
      <c r="B41" s="77" t="s">
        <v>287</v>
      </c>
      <c r="C41" s="3" t="s">
        <v>288</v>
      </c>
      <c r="D41" s="91" t="s">
        <v>288</v>
      </c>
      <c r="L41" s="17" t="s">
        <v>50</v>
      </c>
    </row>
    <row r="42" spans="2:12">
      <c r="B42" s="77"/>
      <c r="C42" s="3" t="s">
        <v>293</v>
      </c>
      <c r="D42" s="91" t="s">
        <v>293</v>
      </c>
      <c r="L42" s="17" t="s">
        <v>50</v>
      </c>
    </row>
    <row r="43" spans="2:12">
      <c r="B43" s="77" t="s">
        <v>299</v>
      </c>
      <c r="C43" s="79" t="s">
        <v>300</v>
      </c>
      <c r="D43" s="90" t="s">
        <v>300</v>
      </c>
      <c r="L43" s="17" t="s">
        <v>50</v>
      </c>
    </row>
    <row r="44" spans="2:12">
      <c r="B44" s="77" t="s">
        <v>306</v>
      </c>
      <c r="C44" s="3" t="s">
        <v>2</v>
      </c>
      <c r="D44" s="91" t="s">
        <v>2</v>
      </c>
      <c r="L44" s="17" t="s">
        <v>50</v>
      </c>
    </row>
    <row r="45" spans="2:12">
      <c r="B45" s="77" t="s">
        <v>310</v>
      </c>
      <c r="C45" s="3" t="s">
        <v>311</v>
      </c>
      <c r="D45" s="91" t="s">
        <v>311</v>
      </c>
      <c r="L45" s="17" t="s">
        <v>50</v>
      </c>
    </row>
    <row r="46" spans="2:12">
      <c r="B46" s="77" t="s">
        <v>315</v>
      </c>
      <c r="C46" s="78" t="s">
        <v>316</v>
      </c>
      <c r="D46" s="90" t="s">
        <v>316</v>
      </c>
      <c r="L46" s="17" t="s">
        <v>50</v>
      </c>
    </row>
    <row r="47" spans="2:12">
      <c r="B47" s="77" t="s">
        <v>324</v>
      </c>
      <c r="C47" s="79" t="s">
        <v>325</v>
      </c>
      <c r="D47" s="90" t="s">
        <v>325</v>
      </c>
      <c r="L47" s="17" t="s">
        <v>50</v>
      </c>
    </row>
    <row r="48" spans="2:12">
      <c r="B48" s="77" t="s">
        <v>329</v>
      </c>
      <c r="C48" s="3" t="s">
        <v>330</v>
      </c>
      <c r="D48" s="91" t="s">
        <v>330</v>
      </c>
      <c r="L48" s="17" t="s">
        <v>50</v>
      </c>
    </row>
    <row r="49" spans="2:12">
      <c r="B49" s="77">
        <v>3</v>
      </c>
      <c r="C49" s="5" t="s">
        <v>333</v>
      </c>
      <c r="D49" s="92" t="s">
        <v>333</v>
      </c>
      <c r="L49" s="17" t="s">
        <v>50</v>
      </c>
    </row>
    <row r="50" spans="2:12">
      <c r="B50" s="77" t="s">
        <v>339</v>
      </c>
      <c r="C50" s="79" t="s">
        <v>502</v>
      </c>
      <c r="D50" s="90" t="s">
        <v>502</v>
      </c>
      <c r="L50" s="17" t="s">
        <v>50</v>
      </c>
    </row>
    <row r="51" spans="2:12">
      <c r="B51" s="77" t="s">
        <v>344</v>
      </c>
      <c r="C51" s="3" t="s">
        <v>345</v>
      </c>
      <c r="D51" s="91" t="s">
        <v>345</v>
      </c>
      <c r="L51" s="17" t="s">
        <v>50</v>
      </c>
    </row>
    <row r="52" spans="2:12">
      <c r="B52" s="77" t="s">
        <v>349</v>
      </c>
      <c r="C52" s="3" t="s">
        <v>350</v>
      </c>
      <c r="D52" s="91" t="s">
        <v>350</v>
      </c>
      <c r="L52" s="17" t="s">
        <v>50</v>
      </c>
    </row>
    <row r="53" spans="2:12">
      <c r="B53" s="77" t="s">
        <v>357</v>
      </c>
      <c r="C53" s="3" t="s">
        <v>358</v>
      </c>
      <c r="D53" s="91" t="s">
        <v>358</v>
      </c>
      <c r="L53" s="17" t="s">
        <v>50</v>
      </c>
    </row>
    <row r="54" spans="2:12">
      <c r="B54" s="77" t="s">
        <v>363</v>
      </c>
      <c r="C54" s="79" t="s">
        <v>364</v>
      </c>
      <c r="D54" s="90" t="s">
        <v>364</v>
      </c>
      <c r="L54" s="17" t="s">
        <v>50</v>
      </c>
    </row>
    <row r="55" spans="2:12">
      <c r="B55" s="80" t="s">
        <v>367</v>
      </c>
      <c r="C55" s="78" t="s">
        <v>368</v>
      </c>
      <c r="D55" s="90" t="s">
        <v>368</v>
      </c>
      <c r="L55" s="17" t="s">
        <v>50</v>
      </c>
    </row>
    <row r="56" spans="2:12">
      <c r="B56" s="77" t="s">
        <v>373</v>
      </c>
      <c r="C56" s="3" t="s">
        <v>374</v>
      </c>
      <c r="D56" s="91" t="s">
        <v>374</v>
      </c>
      <c r="L56" s="17" t="s">
        <v>50</v>
      </c>
    </row>
    <row r="57" spans="2:12">
      <c r="B57" s="77" t="s">
        <v>379</v>
      </c>
      <c r="C57" s="3" t="s">
        <v>380</v>
      </c>
      <c r="D57" s="91" t="s">
        <v>380</v>
      </c>
      <c r="L57" s="17" t="s">
        <v>50</v>
      </c>
    </row>
    <row r="58" spans="2:12">
      <c r="B58" s="77">
        <v>4</v>
      </c>
      <c r="C58" s="3" t="s">
        <v>383</v>
      </c>
      <c r="D58" s="91" t="s">
        <v>383</v>
      </c>
      <c r="L58" s="17" t="s">
        <v>50</v>
      </c>
    </row>
    <row r="59" spans="2:12">
      <c r="B59" s="77" t="s">
        <v>389</v>
      </c>
      <c r="C59" s="3" t="s">
        <v>390</v>
      </c>
      <c r="D59" s="91" t="s">
        <v>390</v>
      </c>
      <c r="L59" s="17" t="s">
        <v>50</v>
      </c>
    </row>
    <row r="60" spans="2:12">
      <c r="B60" s="3" t="s">
        <v>395</v>
      </c>
      <c r="C60" s="3" t="s">
        <v>396</v>
      </c>
      <c r="D60" s="91" t="s">
        <v>396</v>
      </c>
      <c r="L60" s="17" t="s">
        <v>50</v>
      </c>
    </row>
    <row r="61" spans="2:12">
      <c r="B61" s="3" t="s">
        <v>400</v>
      </c>
      <c r="C61" s="3" t="s">
        <v>401</v>
      </c>
      <c r="D61" s="91" t="s">
        <v>401</v>
      </c>
      <c r="L61" s="17" t="s">
        <v>50</v>
      </c>
    </row>
    <row r="62" spans="2:12">
      <c r="B62" s="3" t="s">
        <v>405</v>
      </c>
      <c r="C62" s="3" t="s">
        <v>406</v>
      </c>
      <c r="D62" s="91" t="s">
        <v>406</v>
      </c>
      <c r="L62" s="17" t="s">
        <v>50</v>
      </c>
    </row>
    <row r="63" spans="2:12">
      <c r="B63" s="3" t="s">
        <v>411</v>
      </c>
      <c r="C63" s="3" t="s">
        <v>412</v>
      </c>
      <c r="D63" s="91" t="s">
        <v>412</v>
      </c>
      <c r="L63" s="17" t="s">
        <v>50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8770-BDD9-4FB7-95B5-03457E62951A}">
  <dimension ref="A1:T87"/>
  <sheetViews>
    <sheetView workbookViewId="0">
      <selection activeCell="C13" sqref="C13"/>
    </sheetView>
  </sheetViews>
  <sheetFormatPr baseColWidth="10" defaultColWidth="9" defaultRowHeight="15"/>
  <cols>
    <col min="1" max="1" width="12.140625" style="77" bestFit="1" customWidth="1"/>
    <col min="2" max="2" width="12" style="3" customWidth="1"/>
    <col min="3" max="3" width="36" style="3" bestFit="1" customWidth="1"/>
    <col min="4" max="4" width="31" style="3" customWidth="1"/>
    <col min="5" max="5" width="12.42578125" style="3" customWidth="1"/>
    <col min="6" max="6" width="18.7109375" style="3" customWidth="1"/>
    <col min="7" max="7" width="11.42578125" style="3" customWidth="1"/>
    <col min="8" max="8" width="26" style="3" customWidth="1"/>
    <col min="9" max="10" width="21.140625" style="3" customWidth="1"/>
    <col min="11" max="11" width="33" style="3" bestFit="1" customWidth="1"/>
    <col min="12" max="12" width="21.140625" style="3" customWidth="1"/>
    <col min="13" max="13" width="23.85546875" style="3" customWidth="1"/>
    <col min="14" max="14" width="15.42578125" style="3" bestFit="1" customWidth="1"/>
    <col min="15" max="15" width="12.140625" style="3" customWidth="1"/>
    <col min="16" max="16" width="17.140625" style="3" customWidth="1"/>
    <col min="17" max="17" width="12.5703125" style="3" customWidth="1"/>
    <col min="18" max="18" width="13.7109375" style="3" customWidth="1"/>
    <col min="19" max="19" width="18.140625" style="3" customWidth="1"/>
    <col min="20" max="20" width="18.5703125" style="77" customWidth="1"/>
    <col min="21" max="16384" width="9" style="3"/>
  </cols>
  <sheetData>
    <row r="1" spans="1:20" s="27" customFormat="1" ht="36" customHeight="1">
      <c r="C1" s="45"/>
      <c r="D1" s="27" t="s">
        <v>499</v>
      </c>
      <c r="E1" s="45" t="s">
        <v>4</v>
      </c>
      <c r="F1" s="71">
        <v>1</v>
      </c>
      <c r="I1" s="45" t="s">
        <v>5</v>
      </c>
      <c r="L1" s="45" t="s">
        <v>6</v>
      </c>
      <c r="M1" s="45" t="s">
        <v>416</v>
      </c>
      <c r="N1" s="45" t="s">
        <v>8</v>
      </c>
      <c r="O1" s="45" t="s">
        <v>9</v>
      </c>
      <c r="P1" s="72"/>
      <c r="Q1" s="45"/>
      <c r="R1" s="45"/>
      <c r="S1" s="45"/>
      <c r="T1" s="45"/>
    </row>
    <row r="2" spans="1:20" s="27" customFormat="1" ht="34.5" customHeight="1">
      <c r="A2" s="53" t="s">
        <v>11</v>
      </c>
      <c r="B2" s="49" t="s">
        <v>12</v>
      </c>
      <c r="C2" s="50" t="s">
        <v>503</v>
      </c>
      <c r="D2" s="49" t="s">
        <v>14</v>
      </c>
      <c r="E2" s="53" t="s">
        <v>15</v>
      </c>
      <c r="F2" s="73" t="s">
        <v>16</v>
      </c>
      <c r="G2" s="74" t="s">
        <v>17</v>
      </c>
      <c r="H2" s="74" t="s">
        <v>18</v>
      </c>
      <c r="I2" s="74" t="s">
        <v>19</v>
      </c>
      <c r="J2" s="75" t="s">
        <v>20</v>
      </c>
      <c r="K2" s="75" t="s">
        <v>21</v>
      </c>
      <c r="L2" s="68" t="s">
        <v>22</v>
      </c>
      <c r="M2" s="74" t="s">
        <v>23</v>
      </c>
      <c r="N2" s="74" t="s">
        <v>24</v>
      </c>
      <c r="O2" s="74" t="s">
        <v>25</v>
      </c>
      <c r="P2" s="76" t="s">
        <v>26</v>
      </c>
      <c r="Q2" s="53" t="s">
        <v>27</v>
      </c>
      <c r="R2" s="53" t="s">
        <v>28</v>
      </c>
      <c r="S2" s="53" t="s">
        <v>29</v>
      </c>
      <c r="T2" s="53" t="s">
        <v>30</v>
      </c>
    </row>
    <row r="3" spans="1:20">
      <c r="B3" s="77">
        <v>0</v>
      </c>
      <c r="C3" s="78" t="s">
        <v>35</v>
      </c>
      <c r="D3" s="90" t="s">
        <v>35</v>
      </c>
      <c r="L3" s="17" t="s">
        <v>50</v>
      </c>
      <c r="T3" s="81" t="s">
        <v>432</v>
      </c>
    </row>
    <row r="4" spans="1:20">
      <c r="A4" s="96" t="s">
        <v>504</v>
      </c>
      <c r="B4" s="77" t="s">
        <v>46</v>
      </c>
      <c r="C4" s="3" t="s">
        <v>47</v>
      </c>
      <c r="D4" s="91" t="s">
        <v>47</v>
      </c>
      <c r="L4" s="17" t="s">
        <v>50</v>
      </c>
    </row>
    <row r="5" spans="1:20">
      <c r="A5" s="96" t="s">
        <v>505</v>
      </c>
      <c r="B5" s="77" t="s">
        <v>54</v>
      </c>
      <c r="C5" s="3" t="s">
        <v>55</v>
      </c>
      <c r="D5" s="91" t="s">
        <v>55</v>
      </c>
      <c r="L5" s="17" t="s">
        <v>50</v>
      </c>
    </row>
    <row r="6" spans="1:20">
      <c r="B6" s="77" t="s">
        <v>66</v>
      </c>
      <c r="C6" s="3" t="s">
        <v>67</v>
      </c>
      <c r="D6" s="91" t="s">
        <v>67</v>
      </c>
      <c r="L6" s="17" t="s">
        <v>50</v>
      </c>
    </row>
    <row r="7" spans="1:20">
      <c r="B7" s="77" t="s">
        <v>74</v>
      </c>
      <c r="C7" s="3" t="s">
        <v>75</v>
      </c>
      <c r="D7" s="91" t="s">
        <v>75</v>
      </c>
      <c r="L7" s="17" t="s">
        <v>50</v>
      </c>
    </row>
    <row r="8" spans="1:20">
      <c r="B8" s="77">
        <v>1</v>
      </c>
      <c r="C8" s="78" t="s">
        <v>80</v>
      </c>
      <c r="D8" s="90" t="s">
        <v>80</v>
      </c>
      <c r="L8" s="17" t="s">
        <v>50</v>
      </c>
    </row>
    <row r="9" spans="1:20">
      <c r="B9" s="77" t="s">
        <v>86</v>
      </c>
      <c r="C9" s="79" t="s">
        <v>87</v>
      </c>
      <c r="D9" s="90" t="s">
        <v>87</v>
      </c>
      <c r="L9" s="17" t="s">
        <v>50</v>
      </c>
    </row>
    <row r="10" spans="1:20">
      <c r="B10" s="77" t="s">
        <v>91</v>
      </c>
      <c r="C10" s="79" t="s">
        <v>92</v>
      </c>
      <c r="D10" s="90" t="s">
        <v>92</v>
      </c>
      <c r="L10" s="17" t="s">
        <v>50</v>
      </c>
    </row>
    <row r="11" spans="1:20">
      <c r="B11" s="77" t="s">
        <v>102</v>
      </c>
      <c r="C11" s="3" t="s">
        <v>103</v>
      </c>
      <c r="D11" s="91" t="s">
        <v>103</v>
      </c>
      <c r="L11" s="17" t="s">
        <v>50</v>
      </c>
    </row>
    <row r="12" spans="1:20">
      <c r="B12" s="77" t="s">
        <v>108</v>
      </c>
      <c r="C12" s="3" t="s">
        <v>109</v>
      </c>
      <c r="D12" s="91" t="s">
        <v>109</v>
      </c>
      <c r="L12" s="17" t="s">
        <v>50</v>
      </c>
    </row>
    <row r="13" spans="1:20">
      <c r="B13" s="77" t="s">
        <v>113</v>
      </c>
      <c r="C13" s="3" t="s">
        <v>459</v>
      </c>
      <c r="D13" s="91" t="s">
        <v>459</v>
      </c>
      <c r="L13" s="17" t="s">
        <v>50</v>
      </c>
    </row>
    <row r="14" spans="1:20">
      <c r="B14" s="77" t="s">
        <v>120</v>
      </c>
      <c r="C14" s="3" t="s">
        <v>121</v>
      </c>
      <c r="D14" s="91" t="s">
        <v>121</v>
      </c>
      <c r="L14" s="17" t="s">
        <v>50</v>
      </c>
    </row>
    <row r="15" spans="1:20">
      <c r="B15" s="77" t="s">
        <v>128</v>
      </c>
      <c r="C15" s="79" t="s">
        <v>129</v>
      </c>
      <c r="D15" s="90" t="s">
        <v>129</v>
      </c>
      <c r="L15" s="17" t="s">
        <v>50</v>
      </c>
    </row>
    <row r="16" spans="1:20">
      <c r="B16" s="77" t="s">
        <v>137</v>
      </c>
      <c r="C16" s="3" t="s">
        <v>138</v>
      </c>
      <c r="D16" s="91" t="s">
        <v>138</v>
      </c>
      <c r="L16" s="17" t="s">
        <v>50</v>
      </c>
    </row>
    <row r="17" spans="1:12">
      <c r="B17" s="77" t="s">
        <v>142</v>
      </c>
      <c r="C17" s="3" t="s">
        <v>143</v>
      </c>
      <c r="D17" s="91" t="s">
        <v>143</v>
      </c>
      <c r="L17" s="17" t="s">
        <v>50</v>
      </c>
    </row>
    <row r="18" spans="1:12">
      <c r="B18" s="77" t="s">
        <v>147</v>
      </c>
      <c r="C18" s="79" t="s">
        <v>148</v>
      </c>
      <c r="D18" s="90" t="s">
        <v>148</v>
      </c>
      <c r="L18" s="17" t="s">
        <v>50</v>
      </c>
    </row>
    <row r="19" spans="1:12">
      <c r="B19" s="77" t="s">
        <v>155</v>
      </c>
      <c r="C19" s="4" t="s">
        <v>156</v>
      </c>
      <c r="D19" s="91" t="s">
        <v>156</v>
      </c>
      <c r="L19" s="17" t="s">
        <v>50</v>
      </c>
    </row>
    <row r="20" spans="1:12">
      <c r="B20" s="77" t="s">
        <v>160</v>
      </c>
      <c r="C20" s="3" t="s">
        <v>161</v>
      </c>
      <c r="D20" s="91" t="s">
        <v>161</v>
      </c>
      <c r="L20" s="17" t="s">
        <v>50</v>
      </c>
    </row>
    <row r="21" spans="1:12">
      <c r="B21" s="77" t="s">
        <v>164</v>
      </c>
      <c r="C21" s="79" t="s">
        <v>165</v>
      </c>
      <c r="D21" s="90" t="s">
        <v>165</v>
      </c>
      <c r="L21" s="17" t="s">
        <v>50</v>
      </c>
    </row>
    <row r="22" spans="1:12">
      <c r="A22" s="10"/>
      <c r="B22" s="10" t="s">
        <v>172</v>
      </c>
      <c r="C22" s="9" t="s">
        <v>173</v>
      </c>
      <c r="D22" s="91" t="s">
        <v>173</v>
      </c>
      <c r="L22" s="17" t="s">
        <v>50</v>
      </c>
    </row>
    <row r="23" spans="1:12">
      <c r="B23" s="77" t="s">
        <v>179</v>
      </c>
      <c r="C23" s="3" t="s">
        <v>180</v>
      </c>
      <c r="D23" s="91" t="s">
        <v>180</v>
      </c>
      <c r="L23" s="17" t="s">
        <v>50</v>
      </c>
    </row>
    <row r="24" spans="1:12">
      <c r="B24" s="77" t="s">
        <v>185</v>
      </c>
      <c r="C24" s="79" t="s">
        <v>186</v>
      </c>
      <c r="D24" s="90" t="s">
        <v>186</v>
      </c>
      <c r="L24" s="17" t="s">
        <v>50</v>
      </c>
    </row>
    <row r="25" spans="1:12">
      <c r="B25" s="77" t="s">
        <v>191</v>
      </c>
      <c r="C25" s="3" t="s">
        <v>192</v>
      </c>
      <c r="D25" s="91" t="s">
        <v>192</v>
      </c>
      <c r="L25" s="17" t="s">
        <v>50</v>
      </c>
    </row>
    <row r="26" spans="1:12">
      <c r="B26" s="77" t="s">
        <v>196</v>
      </c>
      <c r="C26" s="79" t="s">
        <v>197</v>
      </c>
      <c r="D26" s="90" t="s">
        <v>197</v>
      </c>
      <c r="L26" s="17" t="s">
        <v>50</v>
      </c>
    </row>
    <row r="27" spans="1:12">
      <c r="B27" s="77" t="s">
        <v>203</v>
      </c>
      <c r="C27" s="3" t="s">
        <v>204</v>
      </c>
      <c r="D27" s="91" t="s">
        <v>204</v>
      </c>
      <c r="L27" s="17" t="s">
        <v>50</v>
      </c>
    </row>
    <row r="28" spans="1:12">
      <c r="B28" s="77" t="s">
        <v>210</v>
      </c>
      <c r="C28" s="79" t="s">
        <v>211</v>
      </c>
      <c r="D28" s="90" t="s">
        <v>211</v>
      </c>
      <c r="L28" s="17" t="s">
        <v>50</v>
      </c>
    </row>
    <row r="29" spans="1:12">
      <c r="B29" s="77" t="s">
        <v>216</v>
      </c>
      <c r="C29" s="3" t="s">
        <v>217</v>
      </c>
      <c r="D29" s="91" t="s">
        <v>217</v>
      </c>
      <c r="L29" s="17" t="s">
        <v>50</v>
      </c>
    </row>
    <row r="30" spans="1:12">
      <c r="B30" s="77"/>
      <c r="C30" s="78" t="s">
        <v>222</v>
      </c>
      <c r="D30" s="90" t="s">
        <v>222</v>
      </c>
      <c r="L30" s="17" t="s">
        <v>50</v>
      </c>
    </row>
    <row r="31" spans="1:12">
      <c r="B31" s="77">
        <v>2</v>
      </c>
      <c r="C31" s="79" t="s">
        <v>226</v>
      </c>
      <c r="D31" s="90" t="s">
        <v>226</v>
      </c>
      <c r="L31" s="17" t="s">
        <v>50</v>
      </c>
    </row>
    <row r="32" spans="1:12">
      <c r="B32" s="77" t="s">
        <v>234</v>
      </c>
      <c r="C32" s="3" t="s">
        <v>235</v>
      </c>
      <c r="D32" s="91" t="s">
        <v>235</v>
      </c>
      <c r="L32" s="17" t="s">
        <v>50</v>
      </c>
    </row>
    <row r="33" spans="2:12">
      <c r="B33" s="77" t="s">
        <v>241</v>
      </c>
      <c r="C33" s="3" t="s">
        <v>242</v>
      </c>
      <c r="D33" s="91" t="s">
        <v>242</v>
      </c>
      <c r="L33" s="17" t="s">
        <v>50</v>
      </c>
    </row>
    <row r="34" spans="2:12">
      <c r="B34" s="77" t="s">
        <v>247</v>
      </c>
      <c r="C34" s="3" t="s">
        <v>248</v>
      </c>
      <c r="D34" s="91" t="s">
        <v>248</v>
      </c>
      <c r="L34" s="17" t="s">
        <v>50</v>
      </c>
    </row>
    <row r="35" spans="2:12">
      <c r="B35" s="77" t="s">
        <v>252</v>
      </c>
      <c r="C35" s="3" t="s">
        <v>253</v>
      </c>
      <c r="D35" s="91" t="s">
        <v>253</v>
      </c>
      <c r="L35" s="17" t="s">
        <v>50</v>
      </c>
    </row>
    <row r="36" spans="2:12">
      <c r="B36" s="77" t="s">
        <v>259</v>
      </c>
      <c r="C36" s="3" t="s">
        <v>260</v>
      </c>
      <c r="D36" s="91" t="s">
        <v>260</v>
      </c>
      <c r="L36" s="17" t="s">
        <v>50</v>
      </c>
    </row>
    <row r="37" spans="2:12">
      <c r="B37" s="77" t="s">
        <v>263</v>
      </c>
      <c r="C37" s="3" t="s">
        <v>269</v>
      </c>
      <c r="D37" s="91" t="s">
        <v>269</v>
      </c>
      <c r="L37" s="17" t="s">
        <v>50</v>
      </c>
    </row>
    <row r="38" spans="2:12">
      <c r="B38" s="77" t="s">
        <v>268</v>
      </c>
      <c r="C38" s="79" t="s">
        <v>501</v>
      </c>
      <c r="D38" s="90" t="s">
        <v>501</v>
      </c>
      <c r="L38" s="17" t="s">
        <v>50</v>
      </c>
    </row>
    <row r="39" spans="2:12">
      <c r="B39" s="77" t="s">
        <v>272</v>
      </c>
      <c r="C39" s="3" t="s">
        <v>273</v>
      </c>
      <c r="D39" s="91" t="s">
        <v>273</v>
      </c>
      <c r="L39" s="17" t="s">
        <v>50</v>
      </c>
    </row>
    <row r="40" spans="2:12">
      <c r="B40" s="77" t="s">
        <v>277</v>
      </c>
      <c r="C40" s="3" t="s">
        <v>278</v>
      </c>
      <c r="D40" s="91" t="s">
        <v>278</v>
      </c>
      <c r="L40" s="17" t="s">
        <v>50</v>
      </c>
    </row>
    <row r="41" spans="2:12">
      <c r="B41" s="77" t="s">
        <v>287</v>
      </c>
      <c r="C41" s="3" t="s">
        <v>288</v>
      </c>
      <c r="D41" s="91" t="s">
        <v>288</v>
      </c>
      <c r="L41" s="17" t="s">
        <v>50</v>
      </c>
    </row>
    <row r="42" spans="2:12">
      <c r="B42" s="77"/>
      <c r="C42" s="3" t="s">
        <v>293</v>
      </c>
      <c r="D42" s="91" t="s">
        <v>293</v>
      </c>
      <c r="L42" s="17" t="s">
        <v>50</v>
      </c>
    </row>
    <row r="43" spans="2:12">
      <c r="B43" s="77" t="s">
        <v>299</v>
      </c>
      <c r="C43" s="79" t="s">
        <v>300</v>
      </c>
      <c r="D43" s="90" t="s">
        <v>300</v>
      </c>
      <c r="L43" s="17" t="s">
        <v>50</v>
      </c>
    </row>
    <row r="44" spans="2:12">
      <c r="B44" s="77" t="s">
        <v>306</v>
      </c>
      <c r="C44" s="3" t="s">
        <v>2</v>
      </c>
      <c r="D44" s="91" t="s">
        <v>2</v>
      </c>
      <c r="L44" s="17" t="s">
        <v>50</v>
      </c>
    </row>
    <row r="45" spans="2:12">
      <c r="B45" s="77" t="s">
        <v>310</v>
      </c>
      <c r="C45" s="3" t="s">
        <v>311</v>
      </c>
      <c r="D45" s="91" t="s">
        <v>311</v>
      </c>
      <c r="L45" s="17" t="s">
        <v>50</v>
      </c>
    </row>
    <row r="46" spans="2:12">
      <c r="B46" s="77" t="s">
        <v>315</v>
      </c>
      <c r="C46" s="78" t="s">
        <v>316</v>
      </c>
      <c r="D46" s="90" t="s">
        <v>316</v>
      </c>
      <c r="L46" s="17" t="s">
        <v>50</v>
      </c>
    </row>
    <row r="47" spans="2:12">
      <c r="B47" s="77" t="s">
        <v>324</v>
      </c>
      <c r="C47" s="79" t="s">
        <v>325</v>
      </c>
      <c r="D47" s="90" t="s">
        <v>325</v>
      </c>
      <c r="L47" s="17" t="s">
        <v>50</v>
      </c>
    </row>
    <row r="48" spans="2:12">
      <c r="B48" s="77" t="s">
        <v>329</v>
      </c>
      <c r="C48" s="3" t="s">
        <v>330</v>
      </c>
      <c r="D48" s="91" t="s">
        <v>330</v>
      </c>
      <c r="L48" s="17" t="s">
        <v>50</v>
      </c>
    </row>
    <row r="49" spans="1:12">
      <c r="B49" s="77">
        <v>3</v>
      </c>
      <c r="C49" s="5" t="s">
        <v>333</v>
      </c>
      <c r="D49" s="92" t="s">
        <v>333</v>
      </c>
      <c r="L49" s="17" t="s">
        <v>50</v>
      </c>
    </row>
    <row r="50" spans="1:12">
      <c r="B50" s="77" t="s">
        <v>339</v>
      </c>
      <c r="C50" s="79" t="s">
        <v>502</v>
      </c>
      <c r="D50" s="90" t="s">
        <v>502</v>
      </c>
      <c r="L50" s="17" t="s">
        <v>50</v>
      </c>
    </row>
    <row r="51" spans="1:12">
      <c r="B51" s="77" t="s">
        <v>344</v>
      </c>
      <c r="C51" s="79" t="s">
        <v>345</v>
      </c>
      <c r="D51" s="91" t="s">
        <v>345</v>
      </c>
      <c r="L51" s="17" t="s">
        <v>50</v>
      </c>
    </row>
    <row r="52" spans="1:12">
      <c r="B52" s="77" t="s">
        <v>349</v>
      </c>
      <c r="C52" s="79" t="s">
        <v>350</v>
      </c>
      <c r="D52" s="91" t="s">
        <v>350</v>
      </c>
      <c r="L52" s="17" t="s">
        <v>50</v>
      </c>
    </row>
    <row r="53" spans="1:12">
      <c r="B53" s="77" t="s">
        <v>357</v>
      </c>
      <c r="C53" s="79" t="s">
        <v>358</v>
      </c>
      <c r="D53" s="91" t="s">
        <v>358</v>
      </c>
      <c r="L53" s="17" t="s">
        <v>50</v>
      </c>
    </row>
    <row r="54" spans="1:12">
      <c r="B54" s="77" t="s">
        <v>363</v>
      </c>
      <c r="C54" s="79" t="s">
        <v>364</v>
      </c>
      <c r="D54" s="90" t="s">
        <v>364</v>
      </c>
      <c r="L54" s="17" t="s">
        <v>50</v>
      </c>
    </row>
    <row r="55" spans="1:12">
      <c r="B55" s="77" t="s">
        <v>367</v>
      </c>
      <c r="C55" s="79" t="s">
        <v>368</v>
      </c>
      <c r="D55" s="90" t="s">
        <v>368</v>
      </c>
      <c r="L55" s="17" t="s">
        <v>50</v>
      </c>
    </row>
    <row r="56" spans="1:12">
      <c r="B56" s="77" t="s">
        <v>373</v>
      </c>
      <c r="C56" s="79" t="s">
        <v>374</v>
      </c>
      <c r="D56" s="91" t="s">
        <v>374</v>
      </c>
      <c r="L56" s="17" t="s">
        <v>50</v>
      </c>
    </row>
    <row r="57" spans="1:12">
      <c r="B57" s="77" t="s">
        <v>379</v>
      </c>
      <c r="C57" s="79" t="s">
        <v>380</v>
      </c>
      <c r="D57" s="91" t="s">
        <v>380</v>
      </c>
      <c r="L57" s="17" t="s">
        <v>50</v>
      </c>
    </row>
    <row r="58" spans="1:12">
      <c r="B58" s="77">
        <v>4</v>
      </c>
      <c r="C58" s="3" t="s">
        <v>383</v>
      </c>
      <c r="D58" s="91" t="s">
        <v>383</v>
      </c>
      <c r="L58" s="17" t="s">
        <v>50</v>
      </c>
    </row>
    <row r="59" spans="1:12">
      <c r="B59" s="77" t="s">
        <v>389</v>
      </c>
      <c r="C59" s="3" t="s">
        <v>390</v>
      </c>
      <c r="D59" s="91" t="s">
        <v>390</v>
      </c>
      <c r="L59" s="17" t="s">
        <v>50</v>
      </c>
    </row>
    <row r="60" spans="1:12">
      <c r="B60" s="77" t="s">
        <v>395</v>
      </c>
      <c r="C60" s="3" t="s">
        <v>396</v>
      </c>
      <c r="D60" s="91" t="s">
        <v>396</v>
      </c>
      <c r="L60" s="17" t="s">
        <v>50</v>
      </c>
    </row>
    <row r="61" spans="1:12">
      <c r="B61" s="77" t="s">
        <v>400</v>
      </c>
      <c r="C61" s="79" t="s">
        <v>401</v>
      </c>
      <c r="D61" s="91" t="s">
        <v>401</v>
      </c>
      <c r="L61" s="17" t="s">
        <v>50</v>
      </c>
    </row>
    <row r="62" spans="1:12">
      <c r="B62" s="80" t="s">
        <v>405</v>
      </c>
      <c r="C62" s="78" t="s">
        <v>406</v>
      </c>
      <c r="D62" s="91" t="s">
        <v>406</v>
      </c>
      <c r="L62" s="17" t="s">
        <v>50</v>
      </c>
    </row>
    <row r="63" spans="1:12">
      <c r="B63" s="77" t="s">
        <v>411</v>
      </c>
      <c r="C63" s="3" t="s">
        <v>412</v>
      </c>
      <c r="D63" s="91" t="s">
        <v>412</v>
      </c>
      <c r="L63" s="17" t="s">
        <v>50</v>
      </c>
    </row>
    <row r="64" spans="1:12">
      <c r="A64" s="77" t="s">
        <v>506</v>
      </c>
      <c r="D64" s="3" t="s">
        <v>507</v>
      </c>
      <c r="L64" s="17" t="s">
        <v>39</v>
      </c>
    </row>
    <row r="65" spans="1:12">
      <c r="A65" s="77" t="s">
        <v>508</v>
      </c>
      <c r="D65" s="3" t="s">
        <v>509</v>
      </c>
      <c r="L65" s="17" t="s">
        <v>39</v>
      </c>
    </row>
    <row r="66" spans="1:12">
      <c r="A66" s="77" t="s">
        <v>510</v>
      </c>
      <c r="D66" s="3" t="s">
        <v>511</v>
      </c>
      <c r="L66" s="17" t="s">
        <v>39</v>
      </c>
    </row>
    <row r="67" spans="1:12">
      <c r="A67" s="77" t="s">
        <v>512</v>
      </c>
      <c r="D67" s="3" t="s">
        <v>513</v>
      </c>
      <c r="L67" s="17" t="s">
        <v>39</v>
      </c>
    </row>
    <row r="68" spans="1:12">
      <c r="A68" s="77" t="s">
        <v>514</v>
      </c>
      <c r="D68" s="3" t="s">
        <v>515</v>
      </c>
      <c r="L68" s="17" t="s">
        <v>39</v>
      </c>
    </row>
    <row r="69" spans="1:12">
      <c r="A69" s="77" t="s">
        <v>516</v>
      </c>
      <c r="D69" s="3" t="s">
        <v>517</v>
      </c>
      <c r="L69" s="17" t="s">
        <v>39</v>
      </c>
    </row>
    <row r="70" spans="1:12">
      <c r="A70" s="77" t="s">
        <v>518</v>
      </c>
      <c r="D70" s="3" t="s">
        <v>519</v>
      </c>
      <c r="L70" s="17" t="s">
        <v>39</v>
      </c>
    </row>
    <row r="71" spans="1:12">
      <c r="A71" s="77" t="s">
        <v>520</v>
      </c>
      <c r="D71" s="3" t="s">
        <v>521</v>
      </c>
      <c r="L71" s="17" t="s">
        <v>39</v>
      </c>
    </row>
    <row r="72" spans="1:12">
      <c r="A72" s="77" t="s">
        <v>522</v>
      </c>
      <c r="D72" s="3" t="s">
        <v>523</v>
      </c>
      <c r="L72" s="17" t="s">
        <v>39</v>
      </c>
    </row>
    <row r="73" spans="1:12">
      <c r="A73" s="77" t="s">
        <v>524</v>
      </c>
      <c r="D73" s="3" t="s">
        <v>525</v>
      </c>
      <c r="L73" s="17" t="s">
        <v>39</v>
      </c>
    </row>
    <row r="74" spans="1:12">
      <c r="A74" s="77" t="s">
        <v>526</v>
      </c>
      <c r="D74" s="3" t="s">
        <v>527</v>
      </c>
      <c r="L74" s="17" t="s">
        <v>39</v>
      </c>
    </row>
    <row r="75" spans="1:12">
      <c r="A75" s="77" t="s">
        <v>528</v>
      </c>
      <c r="D75" s="3" t="s">
        <v>529</v>
      </c>
      <c r="L75" s="17" t="s">
        <v>39</v>
      </c>
    </row>
    <row r="76" spans="1:12">
      <c r="A76" s="77" t="s">
        <v>530</v>
      </c>
      <c r="D76" s="3" t="s">
        <v>531</v>
      </c>
      <c r="L76" s="17" t="s">
        <v>39</v>
      </c>
    </row>
    <row r="77" spans="1:12">
      <c r="A77" s="77" t="s">
        <v>532</v>
      </c>
      <c r="D77" s="3" t="s">
        <v>533</v>
      </c>
      <c r="L77" s="17" t="s">
        <v>39</v>
      </c>
    </row>
    <row r="78" spans="1:12">
      <c r="A78" s="77" t="s">
        <v>534</v>
      </c>
      <c r="D78" s="3" t="s">
        <v>535</v>
      </c>
      <c r="L78" s="17" t="s">
        <v>39</v>
      </c>
    </row>
    <row r="79" spans="1:12">
      <c r="A79" s="77" t="s">
        <v>536</v>
      </c>
      <c r="D79" s="3" t="s">
        <v>537</v>
      </c>
      <c r="L79" s="17" t="s">
        <v>39</v>
      </c>
    </row>
    <row r="80" spans="1:12">
      <c r="A80" s="77" t="s">
        <v>538</v>
      </c>
      <c r="D80" s="3" t="s">
        <v>539</v>
      </c>
      <c r="L80" s="17" t="s">
        <v>39</v>
      </c>
    </row>
    <row r="81" spans="1:12">
      <c r="A81" s="77" t="s">
        <v>540</v>
      </c>
      <c r="D81" s="3" t="s">
        <v>541</v>
      </c>
      <c r="L81" s="17" t="s">
        <v>39</v>
      </c>
    </row>
    <row r="82" spans="1:12">
      <c r="A82" s="77" t="s">
        <v>542</v>
      </c>
      <c r="D82" s="3" t="s">
        <v>543</v>
      </c>
      <c r="L82" s="17" t="s">
        <v>39</v>
      </c>
    </row>
    <row r="83" spans="1:12">
      <c r="A83" s="77" t="s">
        <v>544</v>
      </c>
      <c r="D83" s="3" t="s">
        <v>545</v>
      </c>
      <c r="L83" s="17" t="s">
        <v>39</v>
      </c>
    </row>
    <row r="84" spans="1:12">
      <c r="A84" s="77" t="s">
        <v>546</v>
      </c>
      <c r="D84" s="3" t="s">
        <v>547</v>
      </c>
      <c r="L84" s="17" t="s">
        <v>39</v>
      </c>
    </row>
    <row r="85" spans="1:12">
      <c r="A85" s="77" t="s">
        <v>548</v>
      </c>
      <c r="D85" s="3" t="s">
        <v>549</v>
      </c>
      <c r="L85" s="17" t="s">
        <v>39</v>
      </c>
    </row>
    <row r="86" spans="1:12">
      <c r="A86" s="77" t="s">
        <v>550</v>
      </c>
      <c r="D86" s="3" t="s">
        <v>551</v>
      </c>
      <c r="L86" s="17" t="s">
        <v>39</v>
      </c>
    </row>
    <row r="87" spans="1:12">
      <c r="A87" s="77" t="s">
        <v>550</v>
      </c>
      <c r="D87" s="3" t="s">
        <v>552</v>
      </c>
      <c r="L87" s="17" t="s">
        <v>39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6249-1223-49B0-AA89-7917A601047C}">
  <dimension ref="A1:AN18"/>
  <sheetViews>
    <sheetView tabSelected="1" workbookViewId="0">
      <selection activeCell="L9" sqref="L9"/>
    </sheetView>
  </sheetViews>
  <sheetFormatPr baseColWidth="10" defaultColWidth="9.140625" defaultRowHeight="15"/>
  <cols>
    <col min="1" max="1" width="11.42578125" style="2" bestFit="1" customWidth="1"/>
    <col min="2" max="2" width="12" customWidth="1"/>
    <col min="3" max="3" width="36" bestFit="1" customWidth="1"/>
    <col min="4" max="4" width="31" customWidth="1"/>
    <col min="5" max="5" width="12.42578125" customWidth="1"/>
    <col min="6" max="6" width="18.7109375" customWidth="1"/>
    <col min="7" max="7" width="11.42578125" customWidth="1"/>
    <col min="8" max="8" width="26" customWidth="1"/>
    <col min="9" max="10" width="21.140625" customWidth="1"/>
    <col min="11" max="11" width="33" bestFit="1" customWidth="1"/>
    <col min="12" max="12" width="21.140625" customWidth="1"/>
    <col min="13" max="13" width="23.85546875" customWidth="1"/>
    <col min="14" max="14" width="15.42578125" bestFit="1" customWidth="1"/>
    <col min="15" max="15" width="12.140625" customWidth="1"/>
    <col min="16" max="16" width="17.140625" customWidth="1"/>
    <col min="17" max="17" width="12.5703125" customWidth="1"/>
    <col min="18" max="18" width="13.7109375" customWidth="1"/>
    <col min="19" max="19" width="18.140625" customWidth="1"/>
    <col min="20" max="20" width="18.5703125" style="2" customWidth="1"/>
  </cols>
  <sheetData>
    <row r="1" spans="1:40" s="17" customFormat="1" ht="36" customHeight="1">
      <c r="C1" s="31"/>
      <c r="D1" s="17" t="s">
        <v>499</v>
      </c>
      <c r="E1" s="31" t="s">
        <v>4</v>
      </c>
      <c r="F1" s="56">
        <v>1</v>
      </c>
      <c r="I1" s="31" t="s">
        <v>5</v>
      </c>
      <c r="L1" s="31" t="s">
        <v>6</v>
      </c>
      <c r="M1" s="31" t="s">
        <v>416</v>
      </c>
      <c r="N1" s="31" t="s">
        <v>8</v>
      </c>
      <c r="O1" s="31" t="s">
        <v>9</v>
      </c>
      <c r="P1" s="62"/>
      <c r="Q1" s="31"/>
      <c r="R1" s="31"/>
      <c r="S1" s="31"/>
      <c r="T1" s="31"/>
    </row>
    <row r="2" spans="1:40" s="17" customFormat="1" ht="34.5" customHeight="1">
      <c r="A2" s="53" t="s">
        <v>11</v>
      </c>
      <c r="B2" s="49" t="s">
        <v>12</v>
      </c>
      <c r="C2" s="50" t="s">
        <v>503</v>
      </c>
      <c r="D2" s="49" t="s">
        <v>14</v>
      </c>
      <c r="E2" s="53" t="s">
        <v>15</v>
      </c>
      <c r="F2" s="73" t="s">
        <v>16</v>
      </c>
      <c r="G2" s="74" t="s">
        <v>17</v>
      </c>
      <c r="H2" s="74" t="s">
        <v>18</v>
      </c>
      <c r="I2" s="74" t="s">
        <v>19</v>
      </c>
      <c r="J2" s="75" t="s">
        <v>20</v>
      </c>
      <c r="K2" s="75" t="s">
        <v>21</v>
      </c>
      <c r="L2" s="68" t="s">
        <v>22</v>
      </c>
      <c r="M2" s="74" t="s">
        <v>23</v>
      </c>
      <c r="N2" s="74" t="s">
        <v>24</v>
      </c>
      <c r="O2" s="74" t="s">
        <v>25</v>
      </c>
      <c r="P2" s="76" t="s">
        <v>26</v>
      </c>
      <c r="Q2" s="53" t="s">
        <v>27</v>
      </c>
      <c r="R2" s="53" t="s">
        <v>28</v>
      </c>
      <c r="S2" s="53" t="s">
        <v>29</v>
      </c>
      <c r="T2" s="53" t="s">
        <v>30</v>
      </c>
    </row>
    <row r="3" spans="1:40" ht="45">
      <c r="A3" s="31" t="s">
        <v>553</v>
      </c>
      <c r="B3" s="82">
        <v>0</v>
      </c>
      <c r="C3" s="16" t="s">
        <v>0</v>
      </c>
      <c r="D3" s="86" t="s">
        <v>554</v>
      </c>
      <c r="E3" s="86" t="s">
        <v>555</v>
      </c>
      <c r="F3" s="57"/>
      <c r="G3" s="87"/>
      <c r="H3" s="87"/>
      <c r="I3" s="87"/>
      <c r="J3" s="88" t="str">
        <f ca="1">IF(I3="","",I3-TODAY())</f>
        <v/>
      </c>
      <c r="K3" s="88" t="str">
        <f ca="1">IF(I3="","",IF(I3&lt;TODAY(),"Vencido",IF(I3-TODAY()&lt;=30,"Próximo a vencer","Vigente")))</f>
        <v/>
      </c>
      <c r="L3" s="17" t="s">
        <v>39</v>
      </c>
      <c r="M3" s="21"/>
      <c r="N3" s="16"/>
      <c r="O3" s="16"/>
      <c r="P3" s="63"/>
      <c r="Q3" s="89"/>
      <c r="R3" s="86"/>
      <c r="S3" s="86"/>
      <c r="T3" s="86" t="s">
        <v>556</v>
      </c>
      <c r="U3" s="86"/>
      <c r="V3" s="8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7"/>
    </row>
    <row r="4" spans="1:40" ht="30">
      <c r="A4" s="17" t="s">
        <v>557</v>
      </c>
      <c r="B4" s="82">
        <v>0</v>
      </c>
      <c r="C4" s="16" t="s">
        <v>0</v>
      </c>
      <c r="D4" s="86" t="s">
        <v>558</v>
      </c>
      <c r="E4" s="86" t="s">
        <v>559</v>
      </c>
      <c r="F4" s="57"/>
      <c r="G4" s="87"/>
      <c r="H4" s="87"/>
      <c r="I4" s="87"/>
      <c r="J4" s="88" t="str">
        <f ca="1">IF(I4="","",I4-TODAY())</f>
        <v/>
      </c>
      <c r="K4" s="88" t="str">
        <f ca="1">IF(I4="","",IF(I4&lt;TODAY(),"Vencido",IF(I4-TODAY()&lt;=30,"Próximo a vencer","Vigente")))</f>
        <v/>
      </c>
      <c r="L4" s="17" t="s">
        <v>39</v>
      </c>
      <c r="M4" s="21" t="s">
        <v>560</v>
      </c>
      <c r="N4" s="16"/>
      <c r="O4" s="16"/>
      <c r="P4" s="63"/>
      <c r="Q4" s="89"/>
      <c r="R4" s="86"/>
      <c r="S4" s="86"/>
      <c r="T4" s="86" t="s">
        <v>556</v>
      </c>
      <c r="U4" s="86"/>
      <c r="V4" s="8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7"/>
    </row>
    <row r="5" spans="1:40" ht="30">
      <c r="A5" s="17" t="s">
        <v>561</v>
      </c>
      <c r="B5" s="82">
        <v>0</v>
      </c>
      <c r="C5" s="16" t="s">
        <v>0</v>
      </c>
      <c r="D5" s="86" t="s">
        <v>562</v>
      </c>
      <c r="E5" s="86" t="s">
        <v>559</v>
      </c>
      <c r="F5" s="57"/>
      <c r="G5" s="87"/>
      <c r="H5" s="87"/>
      <c r="I5" s="87"/>
      <c r="J5" s="88" t="str">
        <f ca="1">IF(I5="","",I5-TODAY())</f>
        <v/>
      </c>
      <c r="K5" s="88" t="str">
        <f ca="1">IF(I5="","",IF(I5&lt;TODAY(),"Vencido",IF(I5-TODAY()&lt;=30,"Próximo a vencer","Vigente")))</f>
        <v/>
      </c>
      <c r="L5" s="17" t="s">
        <v>39</v>
      </c>
      <c r="M5" s="21" t="s">
        <v>560</v>
      </c>
      <c r="N5" s="16"/>
      <c r="O5" s="16"/>
      <c r="P5" s="63"/>
      <c r="Q5" s="89"/>
      <c r="R5" s="86"/>
      <c r="S5" s="86"/>
      <c r="T5" s="86" t="s">
        <v>556</v>
      </c>
      <c r="U5" s="86"/>
      <c r="V5" s="8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7"/>
    </row>
    <row r="6" spans="1:40" ht="30">
      <c r="A6" s="17" t="s">
        <v>563</v>
      </c>
      <c r="B6" s="82">
        <v>0</v>
      </c>
      <c r="C6" s="16" t="s">
        <v>0</v>
      </c>
      <c r="D6" s="86" t="s">
        <v>564</v>
      </c>
      <c r="E6" s="86" t="s">
        <v>559</v>
      </c>
      <c r="F6" s="57"/>
      <c r="G6" s="87"/>
      <c r="H6" s="87"/>
      <c r="I6" s="87"/>
      <c r="J6" s="88" t="str">
        <f ca="1">IF(I6="","",I6-TODAY())</f>
        <v/>
      </c>
      <c r="K6" s="88" t="str">
        <f ca="1">IF(I6="","",IF(I6&lt;TODAY(),"Vencido",IF(I6-TODAY()&lt;=30,"Próximo a vencer","Vigente")))</f>
        <v/>
      </c>
      <c r="L6" s="17" t="s">
        <v>39</v>
      </c>
      <c r="M6" s="21" t="s">
        <v>560</v>
      </c>
      <c r="N6" s="16"/>
      <c r="O6" s="16"/>
      <c r="P6" s="63"/>
      <c r="Q6" s="89"/>
      <c r="R6" s="86"/>
      <c r="S6" s="86"/>
      <c r="T6" s="86" t="s">
        <v>556</v>
      </c>
      <c r="U6" s="86"/>
      <c r="V6" s="8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7"/>
    </row>
    <row r="7" spans="1:40">
      <c r="B7" s="2"/>
      <c r="C7" s="78"/>
      <c r="T7" s="85"/>
    </row>
    <row r="8" spans="1:40" ht="60">
      <c r="B8" s="2"/>
      <c r="C8" s="78"/>
      <c r="D8" s="93" t="s">
        <v>565</v>
      </c>
      <c r="E8" s="93" t="s">
        <v>566</v>
      </c>
      <c r="L8" t="s">
        <v>39</v>
      </c>
      <c r="M8" s="47" t="s">
        <v>567</v>
      </c>
      <c r="T8" s="85"/>
    </row>
    <row r="9" spans="1:40">
      <c r="B9" s="2"/>
      <c r="C9" s="78"/>
      <c r="T9" s="85"/>
    </row>
    <row r="10" spans="1:40">
      <c r="B10" s="2"/>
      <c r="C10" s="78"/>
      <c r="T10" s="85"/>
    </row>
    <row r="11" spans="1:40">
      <c r="B11" s="2"/>
      <c r="C11" s="78"/>
      <c r="T11" s="85"/>
    </row>
    <row r="12" spans="1:40">
      <c r="B12" s="2"/>
      <c r="C12" s="78"/>
      <c r="T12" s="85"/>
    </row>
    <row r="13" spans="1:40">
      <c r="B13" s="2"/>
      <c r="C13" s="78"/>
      <c r="T13" s="85"/>
    </row>
    <row r="14" spans="1:40">
      <c r="B14" s="2"/>
      <c r="C14" s="78"/>
      <c r="T14" s="85"/>
    </row>
    <row r="15" spans="1:40">
      <c r="B15" s="2"/>
      <c r="C15" s="78"/>
      <c r="T15" s="85"/>
    </row>
    <row r="16" spans="1:40">
      <c r="B16" s="2"/>
      <c r="C16" s="78"/>
      <c r="T16" s="85"/>
    </row>
    <row r="17" spans="2:20">
      <c r="B17" s="2"/>
      <c r="C17" s="78"/>
      <c r="T17" s="85"/>
    </row>
    <row r="18" spans="2:20">
      <c r="B18" s="2"/>
      <c r="C18" s="78"/>
      <c r="T18" s="85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 Manuales - MGD - Est</vt:lpstr>
      <vt:lpstr>2 Procesos</vt:lpstr>
      <vt:lpstr>3 Procedimientos - Nor</vt:lpstr>
      <vt:lpstr>4 Instructivos -Op</vt:lpstr>
      <vt:lpstr>5 FOR y MZ - Ctrl</vt:lpstr>
      <vt:lpstr>6  Politicas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cindy londoño</dc:creator>
  <cp:keywords/>
  <dc:description/>
  <cp:lastModifiedBy>Jorge Mercado</cp:lastModifiedBy>
  <cp:revision/>
  <dcterms:created xsi:type="dcterms:W3CDTF">2026-05-07T16:27:48Z</dcterms:created>
  <dcterms:modified xsi:type="dcterms:W3CDTF">2026-07-03T17:43:28Z</dcterms:modified>
  <cp:category/>
  <cp:contentStatus/>
</cp:coreProperties>
</file>